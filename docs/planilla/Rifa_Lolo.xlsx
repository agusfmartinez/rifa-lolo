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ervas" sheetId="2" state="visible" r:id="rId4"/>
    <sheet name="Publico" sheetId="3" state="visible" r:id="rId5"/>
    <sheet name="Resumen" sheetId="4" state="visible" r:id="rId6"/>
    <sheet name="Grilla" sheetId="5" state="visible" r:id="rId7"/>
    <sheet name="Contro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Escribí los números como quieras: '030 y 199', '7, 77, 177', '8'. La planilla los interpreta sola.</t>
        </r>
      </text>
    </comment>
    <comment ref="C5" authorId="0">
      <text>
        <r>
          <rPr>
            <sz val="10"/>
            <rFont val="Arial"/>
            <family val="2"/>
          </rPr>
          <t xml:space="preserve">En la captura este texto aparecía cortado: completá la lista real de números.</t>
        </r>
      </text>
    </comment>
    <comment ref="C14" authorId="0">
      <text>
        <r>
          <rPr>
            <sz val="10"/>
            <rFont val="Arial"/>
            <family val="2"/>
          </rPr>
          <t xml:space="preserve">En la captura este texto aparecía cortado: completá la lista real de números.</t>
        </r>
      </text>
    </comment>
    <comment ref="E1" authorId="0">
      <text>
        <r>
          <rPr>
            <sz val="10"/>
            <rFont val="Arial"/>
            <family val="2"/>
          </rPr>
          <t xml:space="preserve">Vacío o 'Sí' = cobrado (vendido). 'No' = reservado, todavía no pagó.</t>
        </r>
      </text>
    </comment>
    <comment ref="F1" authorId="0">
      <text>
        <r>
          <rPr>
            <sz val="10"/>
            <rFont val="Arial"/>
            <family val="2"/>
          </rPr>
          <t xml:space="preserve">Opcional. Fecha y hora de la reserva: la web muestra 'Último número reservado hace…'.</t>
        </r>
      </text>
    </comment>
    <comment ref="G1" authorId="0">
      <text>
        <r>
          <rPr>
            <sz val="10"/>
            <rFont val="Arial"/>
            <family val="2"/>
          </rPr>
          <t xml:space="preserve">Columna automática, no la toques.</t>
        </r>
      </text>
    </comment>
  </commentList>
</comments>
</file>

<file path=xl/sharedStrings.xml><?xml version="1.0" encoding="utf-8"?>
<sst xmlns="http://schemas.openxmlformats.org/spreadsheetml/2006/main" count="106" uniqueCount="99">
  <si>
    <t xml:space="preserve">RIFA LOLO — cómo usar esta planilla</t>
  </si>
  <si>
    <t xml:space="preserve">1. Subí este archivo a Google Drive y abrilo con Google Sheets (Archivo &gt; Guardar como Hojas de cálculo de Google).</t>
  </si>
  <si>
    <t xml:space="preserve">2. Cada vez que alguien pide números, agregá UNA fila en 'Reservas': Nombre, Teléfono, Números (como quieras: '030 y 199', '7, 77'), Monto.</t>
  </si>
  <si>
    <t xml:space="preserve">3. Columna Pagado: vacía o 'Sí' = cobrado (vendido). Poné 'No' si reservó pero todavía no pagó (sale amarillo en la web).</t>
  </si>
  <si>
    <t xml:space="preserve">4. Donaciones sin número: anotalas igual en Reservas con la columna Números vacía. Suman al recaudado.</t>
  </si>
  <si>
    <t xml:space="preserve">5. Las celdas amarillas claritas son las que se completan a mano. Lo demás es automático: no pintes nada.</t>
  </si>
  <si>
    <t xml:space="preserve">6. Publicá SOLO las pestañas 'Publico' y 'Resumen': Archivo &gt; Compartir &gt; Publicar en la web &gt; elegí la pestaña &gt; Valores separados por comas (.csv) &gt; Publicar. Copiá los dos links.</t>
  </si>
  <si>
    <t xml:space="preserve">   NUNCA publiques 'Reservas' ni el documento entero: ahí están nombres y teléfonos.</t>
  </si>
  <si>
    <t xml:space="preserve">7. En 'Resumen' completá alias, titular, fecha del sorteo, lotería, etc. La web lee esos datos, no hace falta tocar código.</t>
  </si>
  <si>
    <t xml:space="preserve">8. La pestaña 'Grilla' te muestra los colores para vos, y 'Control' te avisa si anotaste un número dos veces.</t>
  </si>
  <si>
    <t xml:space="preserve">Filas resaltadas en amarillo fuerte en Reservas: en la captura el texto estaba cortado. Reemplazalas con tus datos reales.</t>
  </si>
  <si>
    <t xml:space="preserve">Google tarda unos minutos en actualizar el CSV publicado: la web se actualiza con esa demora.</t>
  </si>
  <si>
    <t xml:space="preserve">Nombre</t>
  </si>
  <si>
    <t xml:space="preserve">Telefono</t>
  </si>
  <si>
    <t xml:space="preserve">Numeros</t>
  </si>
  <si>
    <t xml:space="preserve">Monto</t>
  </si>
  <si>
    <t xml:space="preserve">Pagado</t>
  </si>
  <si>
    <t xml:space="preserve">Fecha</t>
  </si>
  <si>
    <t xml:space="preserve">Clave (auto)</t>
  </si>
  <si>
    <t xml:space="preserve">Noelia Sikora</t>
  </si>
  <si>
    <t xml:space="preserve">030 y 199</t>
  </si>
  <si>
    <t xml:space="preserve">Maxi Arias</t>
  </si>
  <si>
    <t xml:space="preserve">011 y 033</t>
  </si>
  <si>
    <t xml:space="preserve">Eugenia Gomez</t>
  </si>
  <si>
    <t xml:space="preserve">005 y 111</t>
  </si>
  <si>
    <t xml:space="preserve">Daniel Martinez</t>
  </si>
  <si>
    <t xml:space="preserve">01, 68, 74, 107</t>
  </si>
  <si>
    <t xml:space="preserve">Valeria Domb.</t>
  </si>
  <si>
    <t xml:space="preserve">7, 77, 177, 197</t>
  </si>
  <si>
    <t xml:space="preserve">Agustina Arias</t>
  </si>
  <si>
    <t xml:space="preserve">83, 121</t>
  </si>
  <si>
    <t xml:space="preserve">Valen Arias</t>
  </si>
  <si>
    <t xml:space="preserve">13, 15, 49, 93</t>
  </si>
  <si>
    <t xml:space="preserve">Stella Gutiérrez</t>
  </si>
  <si>
    <t xml:space="preserve">28 y 112</t>
  </si>
  <si>
    <t xml:space="preserve">Andrea Gutiérrez</t>
  </si>
  <si>
    <t xml:space="preserve">12 y 14</t>
  </si>
  <si>
    <t xml:space="preserve">Stella Vallejos</t>
  </si>
  <si>
    <t xml:space="preserve">21 y 75</t>
  </si>
  <si>
    <t xml:space="preserve">Julia Casal</t>
  </si>
  <si>
    <t xml:space="preserve">048 y 122</t>
  </si>
  <si>
    <t xml:space="preserve">Fiamma Gutiérrez</t>
  </si>
  <si>
    <t xml:space="preserve">8</t>
  </si>
  <si>
    <t xml:space="preserve">Luciano Gomez</t>
  </si>
  <si>
    <t xml:space="preserve">10, 22, 80, 88</t>
  </si>
  <si>
    <t xml:space="preserve">numero</t>
  </si>
  <si>
    <t xml:space="preserve">estado</t>
  </si>
  <si>
    <t xml:space="preserve">clave</t>
  </si>
  <si>
    <t xml:space="preserve">valor</t>
  </si>
  <si>
    <t xml:space="preserve">nota</t>
  </si>
  <si>
    <t xml:space="preserve">recaudado</t>
  </si>
  <si>
    <t xml:space="preserve">Automático: suma de montos cobrados</t>
  </si>
  <si>
    <t xml:space="preserve">pendiente</t>
  </si>
  <si>
    <t xml:space="preserve">Automático: reservado sin pagar</t>
  </si>
  <si>
    <t xml:space="preserve">objetivo</t>
  </si>
  <si>
    <t xml:space="preserve">Editable: costo de la cirugía</t>
  </si>
  <si>
    <t xml:space="preserve">vendidos</t>
  </si>
  <si>
    <t xml:space="preserve">Automático</t>
  </si>
  <si>
    <t xml:space="preserve">reservados</t>
  </si>
  <si>
    <t xml:space="preserve">disponibles</t>
  </si>
  <si>
    <t xml:space="preserve">ultima_reserva</t>
  </si>
  <si>
    <t xml:space="preserve">Automático: fecha más reciente de la columna Fecha</t>
  </si>
  <si>
    <t xml:space="preserve">precio_numero</t>
  </si>
  <si>
    <t xml:space="preserve">Editable: precio de un número</t>
  </si>
  <si>
    <t xml:space="preserve">precio_par</t>
  </si>
  <si>
    <t xml:space="preserve">Editable: precio de dos números</t>
  </si>
  <si>
    <t xml:space="preserve">alias</t>
  </si>
  <si>
    <t xml:space="preserve">COMPLETAR.ALIAS</t>
  </si>
  <si>
    <t xml:space="preserve">Editable: tu alias para transferir</t>
  </si>
  <si>
    <t xml:space="preserve">titular</t>
  </si>
  <si>
    <t xml:space="preserve">COMPLETAR NOMBRE</t>
  </si>
  <si>
    <t xml:space="preserve">Editable: titular de la cuenta del alias</t>
  </si>
  <si>
    <t xml:space="preserve">whatsapp</t>
  </si>
  <si>
    <t xml:space="preserve">5491134940534</t>
  </si>
  <si>
    <t xml:space="preserve">Editable: formato internacional sin + ni espacios</t>
  </si>
  <si>
    <t xml:space="preserve">instagram</t>
  </si>
  <si>
    <t xml:space="preserve">soylolo_m</t>
  </si>
  <si>
    <t xml:space="preserve">Editable</t>
  </si>
  <si>
    <t xml:space="preserve">fecha_sorteo</t>
  </si>
  <si>
    <t xml:space="preserve">A confirmar</t>
  </si>
  <si>
    <t xml:space="preserve">loteria</t>
  </si>
  <si>
    <t xml:space="preserve">Editable: ej. Quiniela Nacional nocturna</t>
  </si>
  <si>
    <t xml:space="preserve">estado_rifa</t>
  </si>
  <si>
    <t xml:space="preserve">activa</t>
  </si>
  <si>
    <t xml:space="preserve">Editable: activa / cerrada / sorteada</t>
  </si>
  <si>
    <t xml:space="preserve">numero_ganador_1</t>
  </si>
  <si>
    <t xml:space="preserve">Editable: completar después del sorteo</t>
  </si>
  <si>
    <t xml:space="preserve">numero_ganador_2</t>
  </si>
  <si>
    <t xml:space="preserve">numero_ganador_3</t>
  </si>
  <si>
    <t xml:space="preserve">texto_legal</t>
  </si>
  <si>
    <t xml:space="preserve">Editable: autorización de la rifa, si corresponde</t>
  </si>
  <si>
    <t xml:space="preserve">Grilla automática: se pinta sola según Reservas. No hace falta pintar a mano.</t>
  </si>
  <si>
    <t xml:space="preserve">Vendido (pagado)</t>
  </si>
  <si>
    <t xml:space="preserve">Reservado (Pagado = No)</t>
  </si>
  <si>
    <t xml:space="preserve">Disponible</t>
  </si>
  <si>
    <t xml:space="preserve">veces anotado</t>
  </si>
  <si>
    <t xml:space="preserve">alerta</t>
  </si>
  <si>
    <t xml:space="preserve">Números duplicados:</t>
  </si>
  <si>
    <t xml:space="preserve">Números fuera de rango o raros: revisá la columna Clave en Reservas.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</si>
</sst>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\$#,##0"/>
    <numFmt numFmtId="167" formatCode="dd/mm/yyyy\ hh:mm"/>
    <numFmt numFmtId="168" formatCode="0"/>
    <numFmt numFmtId="16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sz val="10"/>
      <name val="Arial"/>
      <family val="2"/>
    </font>
    <font>
      <sz val="11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sz val="11"/>
      <color rgb="FFC0392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9DB"/>
        <bgColor rgb="FFFFFFFF"/>
      </patternFill>
    </fill>
    <fill>
      <patternFill patternType="solid">
        <fgColor rgb="FFFFE066"/>
        <bgColor rgb="FFFFFF99"/>
      </patternFill>
    </fill>
    <fill>
      <patternFill patternType="solid">
        <fgColor rgb="FFE74C3C"/>
        <bgColor rgb="FFC0392B"/>
      </patternFill>
    </fill>
    <fill>
      <patternFill patternType="solid">
        <fgColor rgb="FFF1C40F"/>
        <bgColor rgb="FFFF9900"/>
      </patternFill>
    </fill>
    <fill>
      <patternFill patternType="solid">
        <fgColor rgb="FF2ECC71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74C3C"/>
        </patternFill>
      </fill>
    </dxf>
    <dxf>
      <fill>
        <patternFill>
          <bgColor rgb="FFF1C40F"/>
        </patternFill>
      </fill>
    </dxf>
    <dxf>
      <fill>
        <patternFill>
          <bgColor rgb="FF2ECC7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66"/>
      <rgbColor rgb="FF3366FF"/>
      <rgbColor rgb="FF2ECC71"/>
      <rgbColor rgb="FF99CC00"/>
      <rgbColor rgb="FFF1C40F"/>
      <rgbColor rgb="FFFF9900"/>
      <rgbColor rgb="FFE74C3C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</row>
    <row r="4" customFormat="false" ht="26.8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6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3" t="s">
        <v>7</v>
      </c>
    </row>
    <row r="10" customFormat="false" ht="26.8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26.8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</row>
    <row r="2" customFormat="false" ht="15" hidden="false" customHeight="false" outlineLevel="0" collapsed="false">
      <c r="A2" s="5" t="s">
        <v>19</v>
      </c>
      <c r="B2" s="5"/>
      <c r="C2" s="6" t="s">
        <v>20</v>
      </c>
      <c r="D2" s="7" t="n">
        <v>7000</v>
      </c>
      <c r="E2" s="5"/>
      <c r="F2" s="8"/>
      <c r="G2" s="9" t="str">
        <f aca="false">IF(C2="","",","&amp;SUBSTITUTE(SUBSTITUTE(SUBSTITUTE(SUBSTITUTE(SUBSTITUTE(SUBSTITUTE(TRIM(C2)," y ",","),"y",",")," ",","),".",","),"/",","),"-",",")&amp;",")</f>
        <v>,030,199,</v>
      </c>
    </row>
    <row r="3" customFormat="false" ht="15" hidden="false" customHeight="false" outlineLevel="0" collapsed="false">
      <c r="A3" s="5" t="s">
        <v>21</v>
      </c>
      <c r="B3" s="5"/>
      <c r="C3" s="6" t="s">
        <v>22</v>
      </c>
      <c r="D3" s="7" t="n">
        <v>7000</v>
      </c>
      <c r="E3" s="5"/>
      <c r="F3" s="8"/>
      <c r="G3" s="9" t="str">
        <f aca="false">IF(C3="","",","&amp;SUBSTITUTE(SUBSTITUTE(SUBSTITUTE(SUBSTITUTE(SUBSTITUTE(SUBSTITUTE(TRIM(C3)," y ",","),"y",",")," ",","),".",","),"/",","),"-",",")&amp;",")</f>
        <v>,011,033,</v>
      </c>
    </row>
    <row r="4" customFormat="false" ht="15" hidden="false" customHeight="false" outlineLevel="0" collapsed="false">
      <c r="A4" s="5" t="s">
        <v>23</v>
      </c>
      <c r="B4" s="5"/>
      <c r="C4" s="6" t="s">
        <v>24</v>
      </c>
      <c r="D4" s="7" t="n">
        <v>7000</v>
      </c>
      <c r="E4" s="5"/>
      <c r="F4" s="8"/>
      <c r="G4" s="9" t="str">
        <f aca="false">IF(C4="","",","&amp;SUBSTITUTE(SUBSTITUTE(SUBSTITUTE(SUBSTITUTE(SUBSTITUTE(SUBSTITUTE(TRIM(C4)," y ",","),"y",",")," ",","),".",","),"/",","),"-",",")&amp;",")</f>
        <v>,005,111,</v>
      </c>
    </row>
    <row r="5" customFormat="false" ht="15" hidden="false" customHeight="false" outlineLevel="0" collapsed="false">
      <c r="A5" s="10" t="s">
        <v>25</v>
      </c>
      <c r="B5" s="5"/>
      <c r="C5" s="11" t="s">
        <v>26</v>
      </c>
      <c r="D5" s="12" t="n">
        <v>35000</v>
      </c>
      <c r="E5" s="5"/>
      <c r="F5" s="8"/>
      <c r="G5" s="9" t="str">
        <f aca="false">IF(C5="","",","&amp;SUBSTITUTE(SUBSTITUTE(SUBSTITUTE(SUBSTITUTE(SUBSTITUTE(SUBSTITUTE(TRIM(C5)," y ",","),"y",",")," ",","),".",","),"/",","),"-",",")&amp;",")</f>
        <v>,01,,68,,74,,107,</v>
      </c>
    </row>
    <row r="6" customFormat="false" ht="15" hidden="false" customHeight="false" outlineLevel="0" collapsed="false">
      <c r="A6" s="5" t="s">
        <v>27</v>
      </c>
      <c r="B6" s="5"/>
      <c r="C6" s="6" t="s">
        <v>28</v>
      </c>
      <c r="D6" s="7" t="n">
        <v>14000</v>
      </c>
      <c r="E6" s="5"/>
      <c r="F6" s="8"/>
      <c r="G6" s="9" t="str">
        <f aca="false">IF(C6="","",","&amp;SUBSTITUTE(SUBSTITUTE(SUBSTITUTE(SUBSTITUTE(SUBSTITUTE(SUBSTITUTE(TRIM(C6)," y ",","),"y",",")," ",","),".",","),"/",","),"-",",")&amp;",")</f>
        <v>,7,,77,,177,,197,</v>
      </c>
    </row>
    <row r="7" customFormat="false" ht="15" hidden="false" customHeight="false" outlineLevel="0" collapsed="false">
      <c r="A7" s="5" t="s">
        <v>29</v>
      </c>
      <c r="B7" s="5"/>
      <c r="C7" s="6" t="s">
        <v>30</v>
      </c>
      <c r="D7" s="7" t="n">
        <v>7000</v>
      </c>
      <c r="E7" s="5"/>
      <c r="F7" s="8"/>
      <c r="G7" s="9" t="str">
        <f aca="false">IF(C7="","",","&amp;SUBSTITUTE(SUBSTITUTE(SUBSTITUTE(SUBSTITUTE(SUBSTITUTE(SUBSTITUTE(TRIM(C7)," y ",","),"y",",")," ",","),".",","),"/",","),"-",",")&amp;",")</f>
        <v>,83,,121,</v>
      </c>
    </row>
    <row r="8" customFormat="false" ht="15" hidden="false" customHeight="false" outlineLevel="0" collapsed="false">
      <c r="A8" s="5" t="s">
        <v>31</v>
      </c>
      <c r="B8" s="5"/>
      <c r="C8" s="6" t="s">
        <v>32</v>
      </c>
      <c r="D8" s="7" t="n">
        <v>14000</v>
      </c>
      <c r="E8" s="5"/>
      <c r="F8" s="8"/>
      <c r="G8" s="9" t="str">
        <f aca="false">IF(C8="","",","&amp;SUBSTITUTE(SUBSTITUTE(SUBSTITUTE(SUBSTITUTE(SUBSTITUTE(SUBSTITUTE(TRIM(C8)," y ",","),"y",",")," ",","),".",","),"/",","),"-",",")&amp;",")</f>
        <v>,13,,15,,49,,93,</v>
      </c>
    </row>
    <row r="9" customFormat="false" ht="15" hidden="false" customHeight="false" outlineLevel="0" collapsed="false">
      <c r="A9" s="5" t="s">
        <v>33</v>
      </c>
      <c r="B9" s="5"/>
      <c r="C9" s="6" t="s">
        <v>34</v>
      </c>
      <c r="D9" s="7" t="n">
        <v>7000</v>
      </c>
      <c r="E9" s="5"/>
      <c r="F9" s="8"/>
      <c r="G9" s="9" t="str">
        <f aca="false">IF(C9="","",","&amp;SUBSTITUTE(SUBSTITUTE(SUBSTITUTE(SUBSTITUTE(SUBSTITUTE(SUBSTITUTE(TRIM(C9)," y ",","),"y",",")," ",","),".",","),"/",","),"-",",")&amp;",")</f>
        <v>,28,112,</v>
      </c>
    </row>
    <row r="10" customFormat="false" ht="15" hidden="false" customHeight="false" outlineLevel="0" collapsed="false">
      <c r="A10" s="5" t="s">
        <v>35</v>
      </c>
      <c r="B10" s="5"/>
      <c r="C10" s="6" t="s">
        <v>36</v>
      </c>
      <c r="D10" s="7" t="n">
        <v>7000</v>
      </c>
      <c r="E10" s="5"/>
      <c r="F10" s="8"/>
      <c r="G10" s="9" t="str">
        <f aca="false">IF(C10="","",","&amp;SUBSTITUTE(SUBSTITUTE(SUBSTITUTE(SUBSTITUTE(SUBSTITUTE(SUBSTITUTE(TRIM(C10)," y ",","),"y",",")," ",","),".",","),"/",","),"-",",")&amp;",")</f>
        <v>,12,14,</v>
      </c>
    </row>
    <row r="11" customFormat="false" ht="15" hidden="false" customHeight="false" outlineLevel="0" collapsed="false">
      <c r="A11" s="5" t="s">
        <v>37</v>
      </c>
      <c r="B11" s="5"/>
      <c r="C11" s="6" t="s">
        <v>38</v>
      </c>
      <c r="D11" s="7" t="n">
        <v>7000</v>
      </c>
      <c r="E11" s="5"/>
      <c r="F11" s="8"/>
      <c r="G11" s="9" t="str">
        <f aca="false">IF(C11="","",","&amp;SUBSTITUTE(SUBSTITUTE(SUBSTITUTE(SUBSTITUTE(SUBSTITUTE(SUBSTITUTE(TRIM(C11)," y ",","),"y",",")," ",","),".",","),"/",","),"-",",")&amp;",")</f>
        <v>,21,75,</v>
      </c>
    </row>
    <row r="12" customFormat="false" ht="15" hidden="false" customHeight="false" outlineLevel="0" collapsed="false">
      <c r="A12" s="5" t="s">
        <v>39</v>
      </c>
      <c r="B12" s="5"/>
      <c r="C12" s="6" t="s">
        <v>40</v>
      </c>
      <c r="D12" s="7" t="n">
        <v>7000</v>
      </c>
      <c r="E12" s="5"/>
      <c r="F12" s="8"/>
      <c r="G12" s="9" t="str">
        <f aca="false">IF(C12="","",","&amp;SUBSTITUTE(SUBSTITUTE(SUBSTITUTE(SUBSTITUTE(SUBSTITUTE(SUBSTITUTE(TRIM(C12)," y ",","),"y",",")," ",","),".",","),"/",","),"-",",")&amp;",")</f>
        <v>,048,122,</v>
      </c>
    </row>
    <row r="13" customFormat="false" ht="15" hidden="false" customHeight="false" outlineLevel="0" collapsed="false">
      <c r="A13" s="5" t="s">
        <v>41</v>
      </c>
      <c r="B13" s="5"/>
      <c r="C13" s="6" t="s">
        <v>42</v>
      </c>
      <c r="D13" s="7" t="n">
        <v>4000</v>
      </c>
      <c r="E13" s="5"/>
      <c r="F13" s="8"/>
      <c r="G13" s="9" t="str">
        <f aca="false">IF(C13="","",","&amp;SUBSTITUTE(SUBSTITUTE(SUBSTITUTE(SUBSTITUTE(SUBSTITUTE(SUBSTITUTE(TRIM(C13)," y ",","),"y",",")," ",","),".",","),"/",","),"-",",")&amp;",")</f>
        <v>,8,</v>
      </c>
    </row>
    <row r="14" customFormat="false" ht="15" hidden="false" customHeight="false" outlineLevel="0" collapsed="false">
      <c r="A14" s="10" t="s">
        <v>43</v>
      </c>
      <c r="B14" s="5"/>
      <c r="C14" s="11" t="s">
        <v>44</v>
      </c>
      <c r="D14" s="12" t="n">
        <v>30000</v>
      </c>
      <c r="E14" s="5"/>
      <c r="F14" s="8"/>
      <c r="G14" s="9" t="str">
        <f aca="false">IF(C14="","",","&amp;SUBSTITUTE(SUBSTITUTE(SUBSTITUTE(SUBSTITUTE(SUBSTITUTE(SUBSTITUTE(TRIM(C14)," y ",","),"y",",")," ",","),".",","),"/",","),"-",",")&amp;",")</f>
        <v>,10,,22,,80,,88,</v>
      </c>
    </row>
    <row r="15" customFormat="false" ht="15" hidden="false" customHeight="false" outlineLevel="0" collapsed="false">
      <c r="A15" s="5"/>
      <c r="B15" s="5"/>
      <c r="C15" s="6"/>
      <c r="D15" s="7"/>
      <c r="E15" s="5"/>
      <c r="F15" s="8"/>
      <c r="G15" s="9" t="str">
        <f aca="false">IF(C15="","",","&amp;SUBSTITUTE(SUBSTITUTE(SUBSTITUTE(SUBSTITUTE(SUBSTITUTE(SUBSTITUTE(TRIM(C15)," y ",","),"y",",")," ",","),".",","),"/",","),"-",",")&amp;",")</f>
        <v/>
      </c>
    </row>
    <row r="16" customFormat="false" ht="15" hidden="false" customHeight="false" outlineLevel="0" collapsed="false">
      <c r="A16" s="5"/>
      <c r="B16" s="5"/>
      <c r="C16" s="6"/>
      <c r="D16" s="7"/>
      <c r="E16" s="5"/>
      <c r="F16" s="8"/>
      <c r="G16" s="9" t="str">
        <f aca="false">IF(C16="","",","&amp;SUBSTITUTE(SUBSTITUTE(SUBSTITUTE(SUBSTITUTE(SUBSTITUTE(SUBSTITUTE(TRIM(C16)," y ",","),"y",",")," ",","),".",","),"/",","),"-",",")&amp;",")</f>
        <v/>
      </c>
    </row>
    <row r="17" customFormat="false" ht="15" hidden="false" customHeight="false" outlineLevel="0" collapsed="false">
      <c r="A17" s="5"/>
      <c r="B17" s="5"/>
      <c r="C17" s="6"/>
      <c r="D17" s="7"/>
      <c r="E17" s="5"/>
      <c r="F17" s="8"/>
      <c r="G17" s="9" t="str">
        <f aca="false">IF(C17="","",","&amp;SUBSTITUTE(SUBSTITUTE(SUBSTITUTE(SUBSTITUTE(SUBSTITUTE(SUBSTITUTE(TRIM(C17)," y ",","),"y",",")," ",","),".",","),"/",","),"-",",")&amp;",")</f>
        <v/>
      </c>
    </row>
    <row r="18" customFormat="false" ht="15" hidden="false" customHeight="false" outlineLevel="0" collapsed="false">
      <c r="A18" s="5"/>
      <c r="B18" s="5"/>
      <c r="C18" s="6"/>
      <c r="D18" s="7"/>
      <c r="E18" s="5"/>
      <c r="F18" s="8"/>
      <c r="G18" s="9" t="str">
        <f aca="false">IF(C18="","",","&amp;SUBSTITUTE(SUBSTITUTE(SUBSTITUTE(SUBSTITUTE(SUBSTITUTE(SUBSTITUTE(TRIM(C18)," y ",","),"y",",")," ",","),".",","),"/",","),"-",",")&amp;",")</f>
        <v/>
      </c>
    </row>
    <row r="19" customFormat="false" ht="15" hidden="false" customHeight="false" outlineLevel="0" collapsed="false">
      <c r="A19" s="5"/>
      <c r="B19" s="5"/>
      <c r="C19" s="6"/>
      <c r="D19" s="7"/>
      <c r="E19" s="5"/>
      <c r="F19" s="8"/>
      <c r="G19" s="9" t="str">
        <f aca="false">IF(C19="","",","&amp;SUBSTITUTE(SUBSTITUTE(SUBSTITUTE(SUBSTITUTE(SUBSTITUTE(SUBSTITUTE(TRIM(C19)," y ",","),"y",",")," ",","),".",","),"/",","),"-",",")&amp;",")</f>
        <v/>
      </c>
    </row>
    <row r="20" customFormat="false" ht="15" hidden="false" customHeight="false" outlineLevel="0" collapsed="false">
      <c r="A20" s="5"/>
      <c r="B20" s="5"/>
      <c r="C20" s="6"/>
      <c r="D20" s="7"/>
      <c r="E20" s="5"/>
      <c r="F20" s="8"/>
      <c r="G20" s="9" t="str">
        <f aca="false">IF(C20="","",","&amp;SUBSTITUTE(SUBSTITUTE(SUBSTITUTE(SUBSTITUTE(SUBSTITUTE(SUBSTITUTE(TRIM(C20)," y ",","),"y",",")," ",","),".",","),"/",","),"-",",")&amp;",")</f>
        <v/>
      </c>
    </row>
    <row r="21" customFormat="false" ht="15" hidden="false" customHeight="false" outlineLevel="0" collapsed="false">
      <c r="A21" s="5"/>
      <c r="B21" s="5"/>
      <c r="C21" s="6"/>
      <c r="D21" s="7"/>
      <c r="E21" s="5"/>
      <c r="F21" s="8"/>
      <c r="G21" s="9" t="str">
        <f aca="false">IF(C21="","",","&amp;SUBSTITUTE(SUBSTITUTE(SUBSTITUTE(SUBSTITUTE(SUBSTITUTE(SUBSTITUTE(TRIM(C21)," y ",","),"y",",")," ",","),".",","),"/",","),"-",",")&amp;",")</f>
        <v/>
      </c>
    </row>
    <row r="22" customFormat="false" ht="15" hidden="false" customHeight="false" outlineLevel="0" collapsed="false">
      <c r="A22" s="5"/>
      <c r="B22" s="5"/>
      <c r="C22" s="6"/>
      <c r="D22" s="7"/>
      <c r="E22" s="5"/>
      <c r="F22" s="8"/>
      <c r="G22" s="9" t="str">
        <f aca="false">IF(C22="","",","&amp;SUBSTITUTE(SUBSTITUTE(SUBSTITUTE(SUBSTITUTE(SUBSTITUTE(SUBSTITUTE(TRIM(C22)," y ",","),"y",",")," ",","),".",","),"/",","),"-",",")&amp;",")</f>
        <v/>
      </c>
    </row>
    <row r="23" customFormat="false" ht="15" hidden="false" customHeight="false" outlineLevel="0" collapsed="false">
      <c r="A23" s="5"/>
      <c r="B23" s="5"/>
      <c r="C23" s="6"/>
      <c r="D23" s="7"/>
      <c r="E23" s="5"/>
      <c r="F23" s="8"/>
      <c r="G23" s="9" t="str">
        <f aca="false">IF(C23="","",","&amp;SUBSTITUTE(SUBSTITUTE(SUBSTITUTE(SUBSTITUTE(SUBSTITUTE(SUBSTITUTE(TRIM(C23)," y ",","),"y",",")," ",","),".",","),"/",","),"-",",")&amp;",")</f>
        <v/>
      </c>
    </row>
    <row r="24" customFormat="false" ht="15" hidden="false" customHeight="false" outlineLevel="0" collapsed="false">
      <c r="A24" s="5"/>
      <c r="B24" s="5"/>
      <c r="C24" s="6"/>
      <c r="D24" s="7"/>
      <c r="E24" s="5"/>
      <c r="F24" s="8"/>
      <c r="G24" s="9" t="str">
        <f aca="false">IF(C24="","",","&amp;SUBSTITUTE(SUBSTITUTE(SUBSTITUTE(SUBSTITUTE(SUBSTITUTE(SUBSTITUTE(TRIM(C24)," y ",","),"y",",")," ",","),".",","),"/",","),"-",",")&amp;",")</f>
        <v/>
      </c>
    </row>
    <row r="25" customFormat="false" ht="15" hidden="false" customHeight="false" outlineLevel="0" collapsed="false">
      <c r="A25" s="5"/>
      <c r="B25" s="5"/>
      <c r="C25" s="6"/>
      <c r="D25" s="7"/>
      <c r="E25" s="5"/>
      <c r="F25" s="8"/>
      <c r="G25" s="9" t="str">
        <f aca="false">IF(C25="","",","&amp;SUBSTITUTE(SUBSTITUTE(SUBSTITUTE(SUBSTITUTE(SUBSTITUTE(SUBSTITUTE(TRIM(C25)," y ",","),"y",",")," ",","),".",","),"/",","),"-",",")&amp;",")</f>
        <v/>
      </c>
    </row>
    <row r="26" customFormat="false" ht="15" hidden="false" customHeight="false" outlineLevel="0" collapsed="false">
      <c r="A26" s="5"/>
      <c r="B26" s="5"/>
      <c r="C26" s="6"/>
      <c r="D26" s="7"/>
      <c r="E26" s="5"/>
      <c r="F26" s="8"/>
      <c r="G26" s="9" t="str">
        <f aca="false">IF(C26="","",","&amp;SUBSTITUTE(SUBSTITUTE(SUBSTITUTE(SUBSTITUTE(SUBSTITUTE(SUBSTITUTE(TRIM(C26)," y ",","),"y",",")," ",","),".",","),"/",","),"-",",")&amp;",")</f>
        <v/>
      </c>
    </row>
    <row r="27" customFormat="false" ht="15" hidden="false" customHeight="false" outlineLevel="0" collapsed="false">
      <c r="A27" s="5"/>
      <c r="B27" s="5"/>
      <c r="C27" s="6"/>
      <c r="D27" s="7"/>
      <c r="E27" s="5"/>
      <c r="F27" s="8"/>
      <c r="G27" s="9" t="str">
        <f aca="false">IF(C27="","",","&amp;SUBSTITUTE(SUBSTITUTE(SUBSTITUTE(SUBSTITUTE(SUBSTITUTE(SUBSTITUTE(TRIM(C27)," y ",","),"y",",")," ",","),".",","),"/",","),"-",",")&amp;",")</f>
        <v/>
      </c>
    </row>
    <row r="28" customFormat="false" ht="15" hidden="false" customHeight="false" outlineLevel="0" collapsed="false">
      <c r="A28" s="5"/>
      <c r="B28" s="5"/>
      <c r="C28" s="6"/>
      <c r="D28" s="7"/>
      <c r="E28" s="5"/>
      <c r="F28" s="8"/>
      <c r="G28" s="9" t="str">
        <f aca="false">IF(C28="","",","&amp;SUBSTITUTE(SUBSTITUTE(SUBSTITUTE(SUBSTITUTE(SUBSTITUTE(SUBSTITUTE(TRIM(C28)," y ",","),"y",",")," ",","),".",","),"/",","),"-",",")&amp;",")</f>
        <v/>
      </c>
    </row>
    <row r="29" customFormat="false" ht="15" hidden="false" customHeight="false" outlineLevel="0" collapsed="false">
      <c r="A29" s="5"/>
      <c r="B29" s="5"/>
      <c r="C29" s="6"/>
      <c r="D29" s="7"/>
      <c r="E29" s="5"/>
      <c r="F29" s="8"/>
      <c r="G29" s="9" t="str">
        <f aca="false">IF(C29="","",","&amp;SUBSTITUTE(SUBSTITUTE(SUBSTITUTE(SUBSTITUTE(SUBSTITUTE(SUBSTITUTE(TRIM(C29)," y ",","),"y",",")," ",","),".",","),"/",","),"-",",")&amp;",")</f>
        <v/>
      </c>
    </row>
    <row r="30" customFormat="false" ht="15" hidden="false" customHeight="false" outlineLevel="0" collapsed="false">
      <c r="A30" s="5"/>
      <c r="B30" s="5"/>
      <c r="C30" s="6"/>
      <c r="D30" s="7"/>
      <c r="E30" s="5"/>
      <c r="F30" s="8"/>
      <c r="G30" s="9" t="str">
        <f aca="false">IF(C30="","",","&amp;SUBSTITUTE(SUBSTITUTE(SUBSTITUTE(SUBSTITUTE(SUBSTITUTE(SUBSTITUTE(TRIM(C30)," y ",","),"y",",")," ",","),".",","),"/",","),"-",",")&amp;",")</f>
        <v/>
      </c>
    </row>
    <row r="31" customFormat="false" ht="15" hidden="false" customHeight="false" outlineLevel="0" collapsed="false">
      <c r="A31" s="5"/>
      <c r="B31" s="5"/>
      <c r="C31" s="6"/>
      <c r="D31" s="7"/>
      <c r="E31" s="5"/>
      <c r="F31" s="8"/>
      <c r="G31" s="9" t="str">
        <f aca="false">IF(C31="","",","&amp;SUBSTITUTE(SUBSTITUTE(SUBSTITUTE(SUBSTITUTE(SUBSTITUTE(SUBSTITUTE(TRIM(C31)," y ",","),"y",",")," ",","),".",","),"/",","),"-",",")&amp;",")</f>
        <v/>
      </c>
    </row>
    <row r="32" customFormat="false" ht="15" hidden="false" customHeight="false" outlineLevel="0" collapsed="false">
      <c r="A32" s="5"/>
      <c r="B32" s="5"/>
      <c r="C32" s="6"/>
      <c r="D32" s="7"/>
      <c r="E32" s="5"/>
      <c r="F32" s="8"/>
      <c r="G32" s="9" t="str">
        <f aca="false">IF(C32="","",","&amp;SUBSTITUTE(SUBSTITUTE(SUBSTITUTE(SUBSTITUTE(SUBSTITUTE(SUBSTITUTE(TRIM(C32)," y ",","),"y",",")," ",","),".",","),"/",","),"-",",")&amp;",")</f>
        <v/>
      </c>
    </row>
    <row r="33" customFormat="false" ht="15" hidden="false" customHeight="false" outlineLevel="0" collapsed="false">
      <c r="A33" s="5"/>
      <c r="B33" s="5"/>
      <c r="C33" s="6"/>
      <c r="D33" s="7"/>
      <c r="E33" s="5"/>
      <c r="F33" s="8"/>
      <c r="G33" s="9" t="str">
        <f aca="false">IF(C33="","",","&amp;SUBSTITUTE(SUBSTITUTE(SUBSTITUTE(SUBSTITUTE(SUBSTITUTE(SUBSTITUTE(TRIM(C33)," y ",","),"y",",")," ",","),".",","),"/",","),"-",",")&amp;",")</f>
        <v/>
      </c>
    </row>
    <row r="34" customFormat="false" ht="15" hidden="false" customHeight="false" outlineLevel="0" collapsed="false">
      <c r="A34" s="5"/>
      <c r="B34" s="5"/>
      <c r="C34" s="6"/>
      <c r="D34" s="7"/>
      <c r="E34" s="5"/>
      <c r="F34" s="8"/>
      <c r="G34" s="9" t="str">
        <f aca="false">IF(C34="","",","&amp;SUBSTITUTE(SUBSTITUTE(SUBSTITUTE(SUBSTITUTE(SUBSTITUTE(SUBSTITUTE(TRIM(C34)," y ",","),"y",",")," ",","),".",","),"/",","),"-",",")&amp;",")</f>
        <v/>
      </c>
    </row>
    <row r="35" customFormat="false" ht="15" hidden="false" customHeight="false" outlineLevel="0" collapsed="false">
      <c r="A35" s="5"/>
      <c r="B35" s="5"/>
      <c r="C35" s="6"/>
      <c r="D35" s="7"/>
      <c r="E35" s="5"/>
      <c r="F35" s="8"/>
      <c r="G35" s="9" t="str">
        <f aca="false">IF(C35="","",","&amp;SUBSTITUTE(SUBSTITUTE(SUBSTITUTE(SUBSTITUTE(SUBSTITUTE(SUBSTITUTE(TRIM(C35)," y ",","),"y",",")," ",","),".",","),"/",","),"-",",")&amp;",")</f>
        <v/>
      </c>
    </row>
    <row r="36" customFormat="false" ht="15" hidden="false" customHeight="false" outlineLevel="0" collapsed="false">
      <c r="A36" s="5"/>
      <c r="B36" s="5"/>
      <c r="C36" s="6"/>
      <c r="D36" s="7"/>
      <c r="E36" s="5"/>
      <c r="F36" s="8"/>
      <c r="G36" s="9" t="str">
        <f aca="false">IF(C36="","",","&amp;SUBSTITUTE(SUBSTITUTE(SUBSTITUTE(SUBSTITUTE(SUBSTITUTE(SUBSTITUTE(TRIM(C36)," y ",","),"y",",")," ",","),".",","),"/",","),"-",",")&amp;",")</f>
        <v/>
      </c>
    </row>
    <row r="37" customFormat="false" ht="15" hidden="false" customHeight="false" outlineLevel="0" collapsed="false">
      <c r="A37" s="5"/>
      <c r="B37" s="5"/>
      <c r="C37" s="6"/>
      <c r="D37" s="7"/>
      <c r="E37" s="5"/>
      <c r="F37" s="8"/>
      <c r="G37" s="9" t="str">
        <f aca="false">IF(C37="","",","&amp;SUBSTITUTE(SUBSTITUTE(SUBSTITUTE(SUBSTITUTE(SUBSTITUTE(SUBSTITUTE(TRIM(C37)," y ",","),"y",",")," ",","),".",","),"/",","),"-",",")&amp;",")</f>
        <v/>
      </c>
    </row>
    <row r="38" customFormat="false" ht="15" hidden="false" customHeight="false" outlineLevel="0" collapsed="false">
      <c r="A38" s="5"/>
      <c r="B38" s="5"/>
      <c r="C38" s="6"/>
      <c r="D38" s="7"/>
      <c r="E38" s="5"/>
      <c r="F38" s="8"/>
      <c r="G38" s="9" t="str">
        <f aca="false">IF(C38="","",","&amp;SUBSTITUTE(SUBSTITUTE(SUBSTITUTE(SUBSTITUTE(SUBSTITUTE(SUBSTITUTE(TRIM(C38)," y ",","),"y",",")," ",","),".",","),"/",","),"-",",")&amp;",")</f>
        <v/>
      </c>
    </row>
    <row r="39" customFormat="false" ht="15" hidden="false" customHeight="false" outlineLevel="0" collapsed="false">
      <c r="A39" s="5"/>
      <c r="B39" s="5"/>
      <c r="C39" s="6"/>
      <c r="D39" s="7"/>
      <c r="E39" s="5"/>
      <c r="F39" s="8"/>
      <c r="G39" s="9" t="str">
        <f aca="false">IF(C39="","",","&amp;SUBSTITUTE(SUBSTITUTE(SUBSTITUTE(SUBSTITUTE(SUBSTITUTE(SUBSTITUTE(TRIM(C39)," y ",","),"y",",")," ",","),".",","),"/",","),"-",",")&amp;",")</f>
        <v/>
      </c>
    </row>
    <row r="40" customFormat="false" ht="15" hidden="false" customHeight="false" outlineLevel="0" collapsed="false">
      <c r="A40" s="5"/>
      <c r="B40" s="5"/>
      <c r="C40" s="6"/>
      <c r="D40" s="7"/>
      <c r="E40" s="5"/>
      <c r="F40" s="8"/>
      <c r="G40" s="9" t="str">
        <f aca="false">IF(C40="","",","&amp;SUBSTITUTE(SUBSTITUTE(SUBSTITUTE(SUBSTITUTE(SUBSTITUTE(SUBSTITUTE(TRIM(C40)," y ",","),"y",",")," ",","),".",","),"/",","),"-",",")&amp;",")</f>
        <v/>
      </c>
    </row>
    <row r="41" customFormat="false" ht="15" hidden="false" customHeight="false" outlineLevel="0" collapsed="false">
      <c r="A41" s="5"/>
      <c r="B41" s="5"/>
      <c r="C41" s="6"/>
      <c r="D41" s="7"/>
      <c r="E41" s="5"/>
      <c r="F41" s="8"/>
      <c r="G41" s="9" t="str">
        <f aca="false">IF(C41="","",","&amp;SUBSTITUTE(SUBSTITUTE(SUBSTITUTE(SUBSTITUTE(SUBSTITUTE(SUBSTITUTE(TRIM(C41)," y ",","),"y",",")," ",","),".",","),"/",","),"-",",")&amp;",")</f>
        <v/>
      </c>
    </row>
    <row r="42" customFormat="false" ht="15" hidden="false" customHeight="false" outlineLevel="0" collapsed="false">
      <c r="A42" s="5"/>
      <c r="B42" s="5"/>
      <c r="C42" s="6"/>
      <c r="D42" s="7"/>
      <c r="E42" s="5"/>
      <c r="F42" s="8"/>
      <c r="G42" s="9" t="str">
        <f aca="false">IF(C42="","",","&amp;SUBSTITUTE(SUBSTITUTE(SUBSTITUTE(SUBSTITUTE(SUBSTITUTE(SUBSTITUTE(TRIM(C42)," y ",","),"y",",")," ",","),".",","),"/",","),"-",",")&amp;",")</f>
        <v/>
      </c>
    </row>
    <row r="43" customFormat="false" ht="15" hidden="false" customHeight="false" outlineLevel="0" collapsed="false">
      <c r="A43" s="5"/>
      <c r="B43" s="5"/>
      <c r="C43" s="6"/>
      <c r="D43" s="7"/>
      <c r="E43" s="5"/>
      <c r="F43" s="8"/>
      <c r="G43" s="9" t="str">
        <f aca="false">IF(C43="","",","&amp;SUBSTITUTE(SUBSTITUTE(SUBSTITUTE(SUBSTITUTE(SUBSTITUTE(SUBSTITUTE(TRIM(C43)," y ",","),"y",",")," ",","),".",","),"/",","),"-",",")&amp;",")</f>
        <v/>
      </c>
    </row>
    <row r="44" customFormat="false" ht="15" hidden="false" customHeight="false" outlineLevel="0" collapsed="false">
      <c r="A44" s="5"/>
      <c r="B44" s="5"/>
      <c r="C44" s="6"/>
      <c r="D44" s="7"/>
      <c r="E44" s="5"/>
      <c r="F44" s="8"/>
      <c r="G44" s="9" t="str">
        <f aca="false">IF(C44="","",","&amp;SUBSTITUTE(SUBSTITUTE(SUBSTITUTE(SUBSTITUTE(SUBSTITUTE(SUBSTITUTE(TRIM(C44)," y ",","),"y",",")," ",","),".",","),"/",","),"-",",")&amp;",")</f>
        <v/>
      </c>
    </row>
    <row r="45" customFormat="false" ht="15" hidden="false" customHeight="false" outlineLevel="0" collapsed="false">
      <c r="A45" s="5"/>
      <c r="B45" s="5"/>
      <c r="C45" s="6"/>
      <c r="D45" s="7"/>
      <c r="E45" s="5"/>
      <c r="F45" s="8"/>
      <c r="G45" s="9" t="str">
        <f aca="false">IF(C45="","",","&amp;SUBSTITUTE(SUBSTITUTE(SUBSTITUTE(SUBSTITUTE(SUBSTITUTE(SUBSTITUTE(TRIM(C45)," y ",","),"y",",")," ",","),".",","),"/",","),"-",",")&amp;",")</f>
        <v/>
      </c>
    </row>
    <row r="46" customFormat="false" ht="15" hidden="false" customHeight="false" outlineLevel="0" collapsed="false">
      <c r="A46" s="5"/>
      <c r="B46" s="5"/>
      <c r="C46" s="6"/>
      <c r="D46" s="7"/>
      <c r="E46" s="5"/>
      <c r="F46" s="8"/>
      <c r="G46" s="9" t="str">
        <f aca="false">IF(C46="","",","&amp;SUBSTITUTE(SUBSTITUTE(SUBSTITUTE(SUBSTITUTE(SUBSTITUTE(SUBSTITUTE(TRIM(C46)," y ",","),"y",",")," ",","),".",","),"/",","),"-",",")&amp;",")</f>
        <v/>
      </c>
    </row>
    <row r="47" customFormat="false" ht="15" hidden="false" customHeight="false" outlineLevel="0" collapsed="false">
      <c r="A47" s="5"/>
      <c r="B47" s="5"/>
      <c r="C47" s="6"/>
      <c r="D47" s="7"/>
      <c r="E47" s="5"/>
      <c r="F47" s="8"/>
      <c r="G47" s="9" t="str">
        <f aca="false">IF(C47="","",","&amp;SUBSTITUTE(SUBSTITUTE(SUBSTITUTE(SUBSTITUTE(SUBSTITUTE(SUBSTITUTE(TRIM(C47)," y ",","),"y",",")," ",","),".",","),"/",","),"-",",")&amp;",")</f>
        <v/>
      </c>
    </row>
    <row r="48" customFormat="false" ht="15" hidden="false" customHeight="false" outlineLevel="0" collapsed="false">
      <c r="A48" s="5"/>
      <c r="B48" s="5"/>
      <c r="C48" s="6"/>
      <c r="D48" s="7"/>
      <c r="E48" s="5"/>
      <c r="F48" s="8"/>
      <c r="G48" s="9" t="str">
        <f aca="false">IF(C48="","",","&amp;SUBSTITUTE(SUBSTITUTE(SUBSTITUTE(SUBSTITUTE(SUBSTITUTE(SUBSTITUTE(TRIM(C48)," y ",","),"y",",")," ",","),".",","),"/",","),"-",",")&amp;",")</f>
        <v/>
      </c>
    </row>
    <row r="49" customFormat="false" ht="15" hidden="false" customHeight="false" outlineLevel="0" collapsed="false">
      <c r="A49" s="5"/>
      <c r="B49" s="5"/>
      <c r="C49" s="6"/>
      <c r="D49" s="7"/>
      <c r="E49" s="5"/>
      <c r="F49" s="8"/>
      <c r="G49" s="9" t="str">
        <f aca="false">IF(C49="","",","&amp;SUBSTITUTE(SUBSTITUTE(SUBSTITUTE(SUBSTITUTE(SUBSTITUTE(SUBSTITUTE(TRIM(C49)," y ",","),"y",",")," ",","),".",","),"/",","),"-",",")&amp;",")</f>
        <v/>
      </c>
    </row>
    <row r="50" customFormat="false" ht="15" hidden="false" customHeight="false" outlineLevel="0" collapsed="false">
      <c r="A50" s="5"/>
      <c r="B50" s="5"/>
      <c r="C50" s="6"/>
      <c r="D50" s="7"/>
      <c r="E50" s="5"/>
      <c r="F50" s="8"/>
      <c r="G50" s="9" t="str">
        <f aca="false">IF(C50="","",","&amp;SUBSTITUTE(SUBSTITUTE(SUBSTITUTE(SUBSTITUTE(SUBSTITUTE(SUBSTITUTE(TRIM(C50)," y ",","),"y",",")," ",","),".",","),"/",","),"-",",")&amp;",")</f>
        <v/>
      </c>
    </row>
    <row r="51" customFormat="false" ht="15" hidden="false" customHeight="false" outlineLevel="0" collapsed="false">
      <c r="A51" s="5"/>
      <c r="B51" s="5"/>
      <c r="C51" s="6"/>
      <c r="D51" s="7"/>
      <c r="E51" s="5"/>
      <c r="F51" s="8"/>
      <c r="G51" s="9" t="str">
        <f aca="false">IF(C51="","",","&amp;SUBSTITUTE(SUBSTITUTE(SUBSTITUTE(SUBSTITUTE(SUBSTITUTE(SUBSTITUTE(TRIM(C51)," y ",","),"y",",")," ",","),".",","),"/",","),"-",",")&amp;",")</f>
        <v/>
      </c>
    </row>
    <row r="52" customFormat="false" ht="15" hidden="false" customHeight="false" outlineLevel="0" collapsed="false">
      <c r="A52" s="5"/>
      <c r="B52" s="5"/>
      <c r="C52" s="6"/>
      <c r="D52" s="7"/>
      <c r="E52" s="5"/>
      <c r="F52" s="8"/>
      <c r="G52" s="9" t="str">
        <f aca="false">IF(C52="","",","&amp;SUBSTITUTE(SUBSTITUTE(SUBSTITUTE(SUBSTITUTE(SUBSTITUTE(SUBSTITUTE(TRIM(C52)," y ",","),"y",",")," ",","),".",","),"/",","),"-",",")&amp;",")</f>
        <v/>
      </c>
    </row>
    <row r="53" customFormat="false" ht="15" hidden="false" customHeight="false" outlineLevel="0" collapsed="false">
      <c r="A53" s="5"/>
      <c r="B53" s="5"/>
      <c r="C53" s="6"/>
      <c r="D53" s="7"/>
      <c r="E53" s="5"/>
      <c r="F53" s="8"/>
      <c r="G53" s="9" t="str">
        <f aca="false">IF(C53="","",","&amp;SUBSTITUTE(SUBSTITUTE(SUBSTITUTE(SUBSTITUTE(SUBSTITUTE(SUBSTITUTE(TRIM(C53)," y ",","),"y",",")," ",","),".",","),"/",","),"-",",")&amp;",")</f>
        <v/>
      </c>
    </row>
    <row r="54" customFormat="false" ht="15" hidden="false" customHeight="false" outlineLevel="0" collapsed="false">
      <c r="A54" s="5"/>
      <c r="B54" s="5"/>
      <c r="C54" s="6"/>
      <c r="D54" s="7"/>
      <c r="E54" s="5"/>
      <c r="F54" s="8"/>
      <c r="G54" s="9" t="str">
        <f aca="false">IF(C54="","",","&amp;SUBSTITUTE(SUBSTITUTE(SUBSTITUTE(SUBSTITUTE(SUBSTITUTE(SUBSTITUTE(TRIM(C54)," y ",","),"y",",")," ",","),".",","),"/",","),"-",",")&amp;",")</f>
        <v/>
      </c>
    </row>
    <row r="55" customFormat="false" ht="15" hidden="false" customHeight="false" outlineLevel="0" collapsed="false">
      <c r="A55" s="5"/>
      <c r="B55" s="5"/>
      <c r="C55" s="6"/>
      <c r="D55" s="7"/>
      <c r="E55" s="5"/>
      <c r="F55" s="8"/>
      <c r="G55" s="9" t="str">
        <f aca="false">IF(C55="","",","&amp;SUBSTITUTE(SUBSTITUTE(SUBSTITUTE(SUBSTITUTE(SUBSTITUTE(SUBSTITUTE(TRIM(C55)," y ",","),"y",",")," ",","),".",","),"/",","),"-",",")&amp;",")</f>
        <v/>
      </c>
    </row>
    <row r="56" customFormat="false" ht="15" hidden="false" customHeight="false" outlineLevel="0" collapsed="false">
      <c r="A56" s="5"/>
      <c r="B56" s="5"/>
      <c r="C56" s="6"/>
      <c r="D56" s="7"/>
      <c r="E56" s="5"/>
      <c r="F56" s="8"/>
      <c r="G56" s="9" t="str">
        <f aca="false">IF(C56="","",","&amp;SUBSTITUTE(SUBSTITUTE(SUBSTITUTE(SUBSTITUTE(SUBSTITUTE(SUBSTITUTE(TRIM(C56)," y ",","),"y",",")," ",","),".",","),"/",","),"-",",")&amp;",")</f>
        <v/>
      </c>
    </row>
    <row r="57" customFormat="false" ht="15" hidden="false" customHeight="false" outlineLevel="0" collapsed="false">
      <c r="A57" s="5"/>
      <c r="B57" s="5"/>
      <c r="C57" s="6"/>
      <c r="D57" s="7"/>
      <c r="E57" s="5"/>
      <c r="F57" s="8"/>
      <c r="G57" s="9" t="str">
        <f aca="false">IF(C57="","",","&amp;SUBSTITUTE(SUBSTITUTE(SUBSTITUTE(SUBSTITUTE(SUBSTITUTE(SUBSTITUTE(TRIM(C57)," y ",","),"y",",")," ",","),".",","),"/",","),"-",",")&amp;",")</f>
        <v/>
      </c>
    </row>
    <row r="58" customFormat="false" ht="15" hidden="false" customHeight="false" outlineLevel="0" collapsed="false">
      <c r="A58" s="5"/>
      <c r="B58" s="5"/>
      <c r="C58" s="6"/>
      <c r="D58" s="7"/>
      <c r="E58" s="5"/>
      <c r="F58" s="8"/>
      <c r="G58" s="9" t="str">
        <f aca="false">IF(C58="","",","&amp;SUBSTITUTE(SUBSTITUTE(SUBSTITUTE(SUBSTITUTE(SUBSTITUTE(SUBSTITUTE(TRIM(C58)," y ",","),"y",",")," ",","),".",","),"/",","),"-",",")&amp;",")</f>
        <v/>
      </c>
    </row>
    <row r="59" customFormat="false" ht="15" hidden="false" customHeight="false" outlineLevel="0" collapsed="false">
      <c r="A59" s="5"/>
      <c r="B59" s="5"/>
      <c r="C59" s="6"/>
      <c r="D59" s="7"/>
      <c r="E59" s="5"/>
      <c r="F59" s="8"/>
      <c r="G59" s="9" t="str">
        <f aca="false">IF(C59="","",","&amp;SUBSTITUTE(SUBSTITUTE(SUBSTITUTE(SUBSTITUTE(SUBSTITUTE(SUBSTITUTE(TRIM(C59)," y ",","),"y",",")," ",","),".",","),"/",","),"-",",")&amp;",")</f>
        <v/>
      </c>
    </row>
    <row r="60" customFormat="false" ht="15" hidden="false" customHeight="false" outlineLevel="0" collapsed="false">
      <c r="A60" s="5"/>
      <c r="B60" s="5"/>
      <c r="C60" s="6"/>
      <c r="D60" s="7"/>
      <c r="E60" s="5"/>
      <c r="F60" s="8"/>
      <c r="G60" s="9" t="str">
        <f aca="false">IF(C60="","",","&amp;SUBSTITUTE(SUBSTITUTE(SUBSTITUTE(SUBSTITUTE(SUBSTITUTE(SUBSTITUTE(TRIM(C60)," y ",","),"y",",")," ",","),".",","),"/",","),"-",",")&amp;",")</f>
        <v/>
      </c>
    </row>
    <row r="61" customFormat="false" ht="15" hidden="false" customHeight="false" outlineLevel="0" collapsed="false">
      <c r="A61" s="5"/>
      <c r="B61" s="5"/>
      <c r="C61" s="6"/>
      <c r="D61" s="7"/>
      <c r="E61" s="5"/>
      <c r="F61" s="8"/>
      <c r="G61" s="9" t="str">
        <f aca="false">IF(C61="","",","&amp;SUBSTITUTE(SUBSTITUTE(SUBSTITUTE(SUBSTITUTE(SUBSTITUTE(SUBSTITUTE(TRIM(C61)," y ",","),"y",",")," ",","),".",","),"/",","),"-",",")&amp;",")</f>
        <v/>
      </c>
    </row>
    <row r="62" customFormat="false" ht="15" hidden="false" customHeight="false" outlineLevel="0" collapsed="false">
      <c r="A62" s="5"/>
      <c r="B62" s="5"/>
      <c r="C62" s="6"/>
      <c r="D62" s="7"/>
      <c r="E62" s="5"/>
      <c r="F62" s="8"/>
      <c r="G62" s="9" t="str">
        <f aca="false">IF(C62="","",","&amp;SUBSTITUTE(SUBSTITUTE(SUBSTITUTE(SUBSTITUTE(SUBSTITUTE(SUBSTITUTE(TRIM(C62)," y ",","),"y",",")," ",","),".",","),"/",","),"-",",")&amp;",")</f>
        <v/>
      </c>
    </row>
    <row r="63" customFormat="false" ht="15" hidden="false" customHeight="false" outlineLevel="0" collapsed="false">
      <c r="A63" s="5"/>
      <c r="B63" s="5"/>
      <c r="C63" s="6"/>
      <c r="D63" s="7"/>
      <c r="E63" s="5"/>
      <c r="F63" s="8"/>
      <c r="G63" s="9" t="str">
        <f aca="false">IF(C63="","",","&amp;SUBSTITUTE(SUBSTITUTE(SUBSTITUTE(SUBSTITUTE(SUBSTITUTE(SUBSTITUTE(TRIM(C63)," y ",","),"y",",")," ",","),".",","),"/",","),"-",",")&amp;",")</f>
        <v/>
      </c>
    </row>
    <row r="64" customFormat="false" ht="15" hidden="false" customHeight="false" outlineLevel="0" collapsed="false">
      <c r="A64" s="5"/>
      <c r="B64" s="5"/>
      <c r="C64" s="6"/>
      <c r="D64" s="7"/>
      <c r="E64" s="5"/>
      <c r="F64" s="8"/>
      <c r="G64" s="9" t="str">
        <f aca="false">IF(C64="","",","&amp;SUBSTITUTE(SUBSTITUTE(SUBSTITUTE(SUBSTITUTE(SUBSTITUTE(SUBSTITUTE(TRIM(C64)," y ",","),"y",",")," ",","),".",","),"/",","),"-",",")&amp;",")</f>
        <v/>
      </c>
    </row>
    <row r="65" customFormat="false" ht="15" hidden="false" customHeight="false" outlineLevel="0" collapsed="false">
      <c r="A65" s="5"/>
      <c r="B65" s="5"/>
      <c r="C65" s="6"/>
      <c r="D65" s="7"/>
      <c r="E65" s="5"/>
      <c r="F65" s="8"/>
      <c r="G65" s="9" t="str">
        <f aca="false">IF(C65="","",","&amp;SUBSTITUTE(SUBSTITUTE(SUBSTITUTE(SUBSTITUTE(SUBSTITUTE(SUBSTITUTE(TRIM(C65)," y ",","),"y",",")," ",","),".",","),"/",","),"-",",")&amp;",")</f>
        <v/>
      </c>
    </row>
    <row r="66" customFormat="false" ht="15" hidden="false" customHeight="false" outlineLevel="0" collapsed="false">
      <c r="A66" s="5"/>
      <c r="B66" s="5"/>
      <c r="C66" s="6"/>
      <c r="D66" s="7"/>
      <c r="E66" s="5"/>
      <c r="F66" s="8"/>
      <c r="G66" s="9" t="str">
        <f aca="false">IF(C66="","",","&amp;SUBSTITUTE(SUBSTITUTE(SUBSTITUTE(SUBSTITUTE(SUBSTITUTE(SUBSTITUTE(TRIM(C66)," y ",","),"y",",")," ",","),".",","),"/",","),"-",",")&amp;",")</f>
        <v/>
      </c>
    </row>
    <row r="67" customFormat="false" ht="15" hidden="false" customHeight="false" outlineLevel="0" collapsed="false">
      <c r="A67" s="5"/>
      <c r="B67" s="5"/>
      <c r="C67" s="6"/>
      <c r="D67" s="7"/>
      <c r="E67" s="5"/>
      <c r="F67" s="8"/>
      <c r="G67" s="9" t="str">
        <f aca="false">IF(C67="","",","&amp;SUBSTITUTE(SUBSTITUTE(SUBSTITUTE(SUBSTITUTE(SUBSTITUTE(SUBSTITUTE(TRIM(C67)," y ",","),"y",",")," ",","),".",","),"/",","),"-",",")&amp;",")</f>
        <v/>
      </c>
    </row>
    <row r="68" customFormat="false" ht="15" hidden="false" customHeight="false" outlineLevel="0" collapsed="false">
      <c r="A68" s="5"/>
      <c r="B68" s="5"/>
      <c r="C68" s="6"/>
      <c r="D68" s="7"/>
      <c r="E68" s="5"/>
      <c r="F68" s="8"/>
      <c r="G68" s="9" t="str">
        <f aca="false">IF(C68="","",","&amp;SUBSTITUTE(SUBSTITUTE(SUBSTITUTE(SUBSTITUTE(SUBSTITUTE(SUBSTITUTE(TRIM(C68)," y ",","),"y",",")," ",","),".",","),"/",","),"-",",")&amp;",")</f>
        <v/>
      </c>
    </row>
    <row r="69" customFormat="false" ht="15" hidden="false" customHeight="false" outlineLevel="0" collapsed="false">
      <c r="A69" s="5"/>
      <c r="B69" s="5"/>
      <c r="C69" s="6"/>
      <c r="D69" s="7"/>
      <c r="E69" s="5"/>
      <c r="F69" s="8"/>
      <c r="G69" s="9" t="str">
        <f aca="false">IF(C69="","",","&amp;SUBSTITUTE(SUBSTITUTE(SUBSTITUTE(SUBSTITUTE(SUBSTITUTE(SUBSTITUTE(TRIM(C69)," y ",","),"y",",")," ",","),".",","),"/",","),"-",",")&amp;",")</f>
        <v/>
      </c>
    </row>
    <row r="70" customFormat="false" ht="15" hidden="false" customHeight="false" outlineLevel="0" collapsed="false">
      <c r="A70" s="5"/>
      <c r="B70" s="5"/>
      <c r="C70" s="6"/>
      <c r="D70" s="7"/>
      <c r="E70" s="5"/>
      <c r="F70" s="8"/>
      <c r="G70" s="9" t="str">
        <f aca="false">IF(C70="","",","&amp;SUBSTITUTE(SUBSTITUTE(SUBSTITUTE(SUBSTITUTE(SUBSTITUTE(SUBSTITUTE(TRIM(C70)," y ",","),"y",",")," ",","),".",","),"/",","),"-",",")&amp;",")</f>
        <v/>
      </c>
    </row>
    <row r="71" customFormat="false" ht="15" hidden="false" customHeight="false" outlineLevel="0" collapsed="false">
      <c r="A71" s="5"/>
      <c r="B71" s="5"/>
      <c r="C71" s="6"/>
      <c r="D71" s="7"/>
      <c r="E71" s="5"/>
      <c r="F71" s="8"/>
      <c r="G71" s="9" t="str">
        <f aca="false">IF(C71="","",","&amp;SUBSTITUTE(SUBSTITUTE(SUBSTITUTE(SUBSTITUTE(SUBSTITUTE(SUBSTITUTE(TRIM(C71)," y ",","),"y",",")," ",","),".",","),"/",","),"-",",")&amp;",")</f>
        <v/>
      </c>
    </row>
    <row r="72" customFormat="false" ht="15" hidden="false" customHeight="false" outlineLevel="0" collapsed="false">
      <c r="A72" s="5"/>
      <c r="B72" s="5"/>
      <c r="C72" s="6"/>
      <c r="D72" s="7"/>
      <c r="E72" s="5"/>
      <c r="F72" s="8"/>
      <c r="G72" s="9" t="str">
        <f aca="false">IF(C72="","",","&amp;SUBSTITUTE(SUBSTITUTE(SUBSTITUTE(SUBSTITUTE(SUBSTITUTE(SUBSTITUTE(TRIM(C72)," y ",","),"y",",")," ",","),".",","),"/",","),"-",",")&amp;",")</f>
        <v/>
      </c>
    </row>
    <row r="73" customFormat="false" ht="15" hidden="false" customHeight="false" outlineLevel="0" collapsed="false">
      <c r="A73" s="5"/>
      <c r="B73" s="5"/>
      <c r="C73" s="6"/>
      <c r="D73" s="7"/>
      <c r="E73" s="5"/>
      <c r="F73" s="8"/>
      <c r="G73" s="9" t="str">
        <f aca="false">IF(C73="","",","&amp;SUBSTITUTE(SUBSTITUTE(SUBSTITUTE(SUBSTITUTE(SUBSTITUTE(SUBSTITUTE(TRIM(C73)," y ",","),"y",",")," ",","),".",","),"/",","),"-",",")&amp;",")</f>
        <v/>
      </c>
    </row>
    <row r="74" customFormat="false" ht="15" hidden="false" customHeight="false" outlineLevel="0" collapsed="false">
      <c r="A74" s="5"/>
      <c r="B74" s="5"/>
      <c r="C74" s="6"/>
      <c r="D74" s="7"/>
      <c r="E74" s="5"/>
      <c r="F74" s="8"/>
      <c r="G74" s="9" t="str">
        <f aca="false">IF(C74="","",","&amp;SUBSTITUTE(SUBSTITUTE(SUBSTITUTE(SUBSTITUTE(SUBSTITUTE(SUBSTITUTE(TRIM(C74)," y ",","),"y",",")," ",","),".",","),"/",","),"-",",")&amp;",")</f>
        <v/>
      </c>
    </row>
    <row r="75" customFormat="false" ht="15" hidden="false" customHeight="false" outlineLevel="0" collapsed="false">
      <c r="A75" s="5"/>
      <c r="B75" s="5"/>
      <c r="C75" s="6"/>
      <c r="D75" s="7"/>
      <c r="E75" s="5"/>
      <c r="F75" s="8"/>
      <c r="G75" s="9" t="str">
        <f aca="false">IF(C75="","",","&amp;SUBSTITUTE(SUBSTITUTE(SUBSTITUTE(SUBSTITUTE(SUBSTITUTE(SUBSTITUTE(TRIM(C75)," y ",","),"y",",")," ",","),".",","),"/",","),"-",",")&amp;",")</f>
        <v/>
      </c>
    </row>
    <row r="76" customFormat="false" ht="15" hidden="false" customHeight="false" outlineLevel="0" collapsed="false">
      <c r="A76" s="5"/>
      <c r="B76" s="5"/>
      <c r="C76" s="6"/>
      <c r="D76" s="7"/>
      <c r="E76" s="5"/>
      <c r="F76" s="8"/>
      <c r="G76" s="9" t="str">
        <f aca="false">IF(C76="","",","&amp;SUBSTITUTE(SUBSTITUTE(SUBSTITUTE(SUBSTITUTE(SUBSTITUTE(SUBSTITUTE(TRIM(C76)," y ",","),"y",",")," ",","),".",","),"/",","),"-",",")&amp;",")</f>
        <v/>
      </c>
    </row>
    <row r="77" customFormat="false" ht="15" hidden="false" customHeight="false" outlineLevel="0" collapsed="false">
      <c r="A77" s="5"/>
      <c r="B77" s="5"/>
      <c r="C77" s="6"/>
      <c r="D77" s="7"/>
      <c r="E77" s="5"/>
      <c r="F77" s="8"/>
      <c r="G77" s="9" t="str">
        <f aca="false">IF(C77="","",","&amp;SUBSTITUTE(SUBSTITUTE(SUBSTITUTE(SUBSTITUTE(SUBSTITUTE(SUBSTITUTE(TRIM(C77)," y ",","),"y",",")," ",","),".",","),"/",","),"-",",")&amp;",")</f>
        <v/>
      </c>
    </row>
    <row r="78" customFormat="false" ht="15" hidden="false" customHeight="false" outlineLevel="0" collapsed="false">
      <c r="A78" s="5"/>
      <c r="B78" s="5"/>
      <c r="C78" s="6"/>
      <c r="D78" s="7"/>
      <c r="E78" s="5"/>
      <c r="F78" s="8"/>
      <c r="G78" s="9" t="str">
        <f aca="false">IF(C78="","",","&amp;SUBSTITUTE(SUBSTITUTE(SUBSTITUTE(SUBSTITUTE(SUBSTITUTE(SUBSTITUTE(TRIM(C78)," y ",","),"y",",")," ",","),".",","),"/",","),"-",",")&amp;",")</f>
        <v/>
      </c>
    </row>
    <row r="79" customFormat="false" ht="15" hidden="false" customHeight="false" outlineLevel="0" collapsed="false">
      <c r="A79" s="5"/>
      <c r="B79" s="5"/>
      <c r="C79" s="6"/>
      <c r="D79" s="7"/>
      <c r="E79" s="5"/>
      <c r="F79" s="8"/>
      <c r="G79" s="9" t="str">
        <f aca="false">IF(C79="","",","&amp;SUBSTITUTE(SUBSTITUTE(SUBSTITUTE(SUBSTITUTE(SUBSTITUTE(SUBSTITUTE(TRIM(C79)," y ",","),"y",",")," ",","),".",","),"/",","),"-",",")&amp;",")</f>
        <v/>
      </c>
    </row>
    <row r="80" customFormat="false" ht="15" hidden="false" customHeight="false" outlineLevel="0" collapsed="false">
      <c r="A80" s="5"/>
      <c r="B80" s="5"/>
      <c r="C80" s="6"/>
      <c r="D80" s="7"/>
      <c r="E80" s="5"/>
      <c r="F80" s="8"/>
      <c r="G80" s="9" t="str">
        <f aca="false">IF(C80="","",","&amp;SUBSTITUTE(SUBSTITUTE(SUBSTITUTE(SUBSTITUTE(SUBSTITUTE(SUBSTITUTE(TRIM(C80)," y ",","),"y",",")," ",","),".",","),"/",","),"-",",")&amp;",")</f>
        <v/>
      </c>
    </row>
    <row r="81" customFormat="false" ht="15" hidden="false" customHeight="false" outlineLevel="0" collapsed="false">
      <c r="A81" s="5"/>
      <c r="B81" s="5"/>
      <c r="C81" s="6"/>
      <c r="D81" s="7"/>
      <c r="E81" s="5"/>
      <c r="F81" s="8"/>
      <c r="G81" s="9" t="str">
        <f aca="false">IF(C81="","",","&amp;SUBSTITUTE(SUBSTITUTE(SUBSTITUTE(SUBSTITUTE(SUBSTITUTE(SUBSTITUTE(TRIM(C81)," y ",","),"y",",")," ",","),".",","),"/",","),"-",",")&amp;",")</f>
        <v/>
      </c>
    </row>
    <row r="82" customFormat="false" ht="15" hidden="false" customHeight="false" outlineLevel="0" collapsed="false">
      <c r="A82" s="5"/>
      <c r="B82" s="5"/>
      <c r="C82" s="6"/>
      <c r="D82" s="7"/>
      <c r="E82" s="5"/>
      <c r="F82" s="8"/>
      <c r="G82" s="9" t="str">
        <f aca="false">IF(C82="","",","&amp;SUBSTITUTE(SUBSTITUTE(SUBSTITUTE(SUBSTITUTE(SUBSTITUTE(SUBSTITUTE(TRIM(C82)," y ",","),"y",",")," ",","),".",","),"/",","),"-",",")&amp;",")</f>
        <v/>
      </c>
    </row>
    <row r="83" customFormat="false" ht="15" hidden="false" customHeight="false" outlineLevel="0" collapsed="false">
      <c r="A83" s="5"/>
      <c r="B83" s="5"/>
      <c r="C83" s="6"/>
      <c r="D83" s="7"/>
      <c r="E83" s="5"/>
      <c r="F83" s="8"/>
      <c r="G83" s="9" t="str">
        <f aca="false">IF(C83="","",","&amp;SUBSTITUTE(SUBSTITUTE(SUBSTITUTE(SUBSTITUTE(SUBSTITUTE(SUBSTITUTE(TRIM(C83)," y ",","),"y",",")," ",","),".",","),"/",","),"-",",")&amp;",")</f>
        <v/>
      </c>
    </row>
    <row r="84" customFormat="false" ht="15" hidden="false" customHeight="false" outlineLevel="0" collapsed="false">
      <c r="A84" s="5"/>
      <c r="B84" s="5"/>
      <c r="C84" s="6"/>
      <c r="D84" s="7"/>
      <c r="E84" s="5"/>
      <c r="F84" s="8"/>
      <c r="G84" s="9" t="str">
        <f aca="false">IF(C84="","",","&amp;SUBSTITUTE(SUBSTITUTE(SUBSTITUTE(SUBSTITUTE(SUBSTITUTE(SUBSTITUTE(TRIM(C84)," y ",","),"y",",")," ",","),".",","),"/",","),"-",",")&amp;",")</f>
        <v/>
      </c>
    </row>
    <row r="85" customFormat="false" ht="15" hidden="false" customHeight="false" outlineLevel="0" collapsed="false">
      <c r="A85" s="5"/>
      <c r="B85" s="5"/>
      <c r="C85" s="6"/>
      <c r="D85" s="7"/>
      <c r="E85" s="5"/>
      <c r="F85" s="8"/>
      <c r="G85" s="9" t="str">
        <f aca="false">IF(C85="","",","&amp;SUBSTITUTE(SUBSTITUTE(SUBSTITUTE(SUBSTITUTE(SUBSTITUTE(SUBSTITUTE(TRIM(C85)," y ",","),"y",",")," ",","),".",","),"/",","),"-",",")&amp;",")</f>
        <v/>
      </c>
    </row>
    <row r="86" customFormat="false" ht="15" hidden="false" customHeight="false" outlineLevel="0" collapsed="false">
      <c r="A86" s="5"/>
      <c r="B86" s="5"/>
      <c r="C86" s="6"/>
      <c r="D86" s="7"/>
      <c r="E86" s="5"/>
      <c r="F86" s="8"/>
      <c r="G86" s="9" t="str">
        <f aca="false">IF(C86="","",","&amp;SUBSTITUTE(SUBSTITUTE(SUBSTITUTE(SUBSTITUTE(SUBSTITUTE(SUBSTITUTE(TRIM(C86)," y ",","),"y",",")," ",","),".",","),"/",","),"-",",")&amp;",")</f>
        <v/>
      </c>
    </row>
    <row r="87" customFormat="false" ht="15" hidden="false" customHeight="false" outlineLevel="0" collapsed="false">
      <c r="A87" s="5"/>
      <c r="B87" s="5"/>
      <c r="C87" s="6"/>
      <c r="D87" s="7"/>
      <c r="E87" s="5"/>
      <c r="F87" s="8"/>
      <c r="G87" s="9" t="str">
        <f aca="false">IF(C87="","",","&amp;SUBSTITUTE(SUBSTITUTE(SUBSTITUTE(SUBSTITUTE(SUBSTITUTE(SUBSTITUTE(TRIM(C87)," y ",","),"y",",")," ",","),".",","),"/",","),"-",",")&amp;",")</f>
        <v/>
      </c>
    </row>
    <row r="88" customFormat="false" ht="15" hidden="false" customHeight="false" outlineLevel="0" collapsed="false">
      <c r="A88" s="5"/>
      <c r="B88" s="5"/>
      <c r="C88" s="6"/>
      <c r="D88" s="7"/>
      <c r="E88" s="5"/>
      <c r="F88" s="8"/>
      <c r="G88" s="9" t="str">
        <f aca="false">IF(C88="","",","&amp;SUBSTITUTE(SUBSTITUTE(SUBSTITUTE(SUBSTITUTE(SUBSTITUTE(SUBSTITUTE(TRIM(C88)," y ",","),"y",",")," ",","),".",","),"/",","),"-",",")&amp;",")</f>
        <v/>
      </c>
    </row>
    <row r="89" customFormat="false" ht="15" hidden="false" customHeight="false" outlineLevel="0" collapsed="false">
      <c r="A89" s="5"/>
      <c r="B89" s="5"/>
      <c r="C89" s="6"/>
      <c r="D89" s="7"/>
      <c r="E89" s="5"/>
      <c r="F89" s="8"/>
      <c r="G89" s="9" t="str">
        <f aca="false">IF(C89="","",","&amp;SUBSTITUTE(SUBSTITUTE(SUBSTITUTE(SUBSTITUTE(SUBSTITUTE(SUBSTITUTE(TRIM(C89)," y ",","),"y",",")," ",","),".",","),"/",","),"-",",")&amp;",")</f>
        <v/>
      </c>
    </row>
    <row r="90" customFormat="false" ht="15" hidden="false" customHeight="false" outlineLevel="0" collapsed="false">
      <c r="A90" s="5"/>
      <c r="B90" s="5"/>
      <c r="C90" s="6"/>
      <c r="D90" s="7"/>
      <c r="E90" s="5"/>
      <c r="F90" s="8"/>
      <c r="G90" s="9" t="str">
        <f aca="false">IF(C90="","",","&amp;SUBSTITUTE(SUBSTITUTE(SUBSTITUTE(SUBSTITUTE(SUBSTITUTE(SUBSTITUTE(TRIM(C90)," y ",","),"y",",")," ",","),".",","),"/",","),"-",",")&amp;",")</f>
        <v/>
      </c>
    </row>
    <row r="91" customFormat="false" ht="15" hidden="false" customHeight="false" outlineLevel="0" collapsed="false">
      <c r="A91" s="5"/>
      <c r="B91" s="5"/>
      <c r="C91" s="6"/>
      <c r="D91" s="7"/>
      <c r="E91" s="5"/>
      <c r="F91" s="8"/>
      <c r="G91" s="9" t="str">
        <f aca="false">IF(C91="","",","&amp;SUBSTITUTE(SUBSTITUTE(SUBSTITUTE(SUBSTITUTE(SUBSTITUTE(SUBSTITUTE(TRIM(C91)," y ",","),"y",",")," ",","),".",","),"/",","),"-",",")&amp;",")</f>
        <v/>
      </c>
    </row>
    <row r="92" customFormat="false" ht="15" hidden="false" customHeight="false" outlineLevel="0" collapsed="false">
      <c r="A92" s="5"/>
      <c r="B92" s="5"/>
      <c r="C92" s="6"/>
      <c r="D92" s="7"/>
      <c r="E92" s="5"/>
      <c r="F92" s="8"/>
      <c r="G92" s="9" t="str">
        <f aca="false">IF(C92="","",","&amp;SUBSTITUTE(SUBSTITUTE(SUBSTITUTE(SUBSTITUTE(SUBSTITUTE(SUBSTITUTE(TRIM(C92)," y ",","),"y",",")," ",","),".",","),"/",","),"-",",")&amp;",")</f>
        <v/>
      </c>
    </row>
    <row r="93" customFormat="false" ht="15" hidden="false" customHeight="false" outlineLevel="0" collapsed="false">
      <c r="A93" s="5"/>
      <c r="B93" s="5"/>
      <c r="C93" s="6"/>
      <c r="D93" s="7"/>
      <c r="E93" s="5"/>
      <c r="F93" s="8"/>
      <c r="G93" s="9" t="str">
        <f aca="false">IF(C93="","",","&amp;SUBSTITUTE(SUBSTITUTE(SUBSTITUTE(SUBSTITUTE(SUBSTITUTE(SUBSTITUTE(TRIM(C93)," y ",","),"y",",")," ",","),".",","),"/",","),"-",",")&amp;",")</f>
        <v/>
      </c>
    </row>
    <row r="94" customFormat="false" ht="15" hidden="false" customHeight="false" outlineLevel="0" collapsed="false">
      <c r="A94" s="5"/>
      <c r="B94" s="5"/>
      <c r="C94" s="6"/>
      <c r="D94" s="7"/>
      <c r="E94" s="5"/>
      <c r="F94" s="8"/>
      <c r="G94" s="9" t="str">
        <f aca="false">IF(C94="","",","&amp;SUBSTITUTE(SUBSTITUTE(SUBSTITUTE(SUBSTITUTE(SUBSTITUTE(SUBSTITUTE(TRIM(C94)," y ",","),"y",",")," ",","),".",","),"/",","),"-",",")&amp;",")</f>
        <v/>
      </c>
    </row>
    <row r="95" customFormat="false" ht="15" hidden="false" customHeight="false" outlineLevel="0" collapsed="false">
      <c r="A95" s="5"/>
      <c r="B95" s="5"/>
      <c r="C95" s="6"/>
      <c r="D95" s="7"/>
      <c r="E95" s="5"/>
      <c r="F95" s="8"/>
      <c r="G95" s="9" t="str">
        <f aca="false">IF(C95="","",","&amp;SUBSTITUTE(SUBSTITUTE(SUBSTITUTE(SUBSTITUTE(SUBSTITUTE(SUBSTITUTE(TRIM(C95)," y ",","),"y",",")," ",","),".",","),"/",","),"-",",")&amp;",")</f>
        <v/>
      </c>
    </row>
    <row r="96" customFormat="false" ht="15" hidden="false" customHeight="false" outlineLevel="0" collapsed="false">
      <c r="A96" s="5"/>
      <c r="B96" s="5"/>
      <c r="C96" s="6"/>
      <c r="D96" s="7"/>
      <c r="E96" s="5"/>
      <c r="F96" s="8"/>
      <c r="G96" s="9" t="str">
        <f aca="false">IF(C96="","",","&amp;SUBSTITUTE(SUBSTITUTE(SUBSTITUTE(SUBSTITUTE(SUBSTITUTE(SUBSTITUTE(TRIM(C96)," y ",","),"y",",")," ",","),".",","),"/",","),"-",",")&amp;",")</f>
        <v/>
      </c>
    </row>
    <row r="97" customFormat="false" ht="15" hidden="false" customHeight="false" outlineLevel="0" collapsed="false">
      <c r="A97" s="5"/>
      <c r="B97" s="5"/>
      <c r="C97" s="6"/>
      <c r="D97" s="7"/>
      <c r="E97" s="5"/>
      <c r="F97" s="8"/>
      <c r="G97" s="9" t="str">
        <f aca="false">IF(C97="","",","&amp;SUBSTITUTE(SUBSTITUTE(SUBSTITUTE(SUBSTITUTE(SUBSTITUTE(SUBSTITUTE(TRIM(C97)," y ",","),"y",",")," ",","),".",","),"/",","),"-",",")&amp;",")</f>
        <v/>
      </c>
    </row>
    <row r="98" customFormat="false" ht="15" hidden="false" customHeight="false" outlineLevel="0" collapsed="false">
      <c r="A98" s="5"/>
      <c r="B98" s="5"/>
      <c r="C98" s="6"/>
      <c r="D98" s="7"/>
      <c r="E98" s="5"/>
      <c r="F98" s="8"/>
      <c r="G98" s="9" t="str">
        <f aca="false">IF(C98="","",","&amp;SUBSTITUTE(SUBSTITUTE(SUBSTITUTE(SUBSTITUTE(SUBSTITUTE(SUBSTITUTE(TRIM(C98)," y ",","),"y",",")," ",","),".",","),"/",","),"-",",")&amp;",")</f>
        <v/>
      </c>
    </row>
    <row r="99" customFormat="false" ht="15" hidden="false" customHeight="false" outlineLevel="0" collapsed="false">
      <c r="A99" s="5"/>
      <c r="B99" s="5"/>
      <c r="C99" s="6"/>
      <c r="D99" s="7"/>
      <c r="E99" s="5"/>
      <c r="F99" s="8"/>
      <c r="G99" s="9" t="str">
        <f aca="false">IF(C99="","",","&amp;SUBSTITUTE(SUBSTITUTE(SUBSTITUTE(SUBSTITUTE(SUBSTITUTE(SUBSTITUTE(TRIM(C99)," y ",","),"y",",")," ",","),".",","),"/",","),"-",",")&amp;",")</f>
        <v/>
      </c>
    </row>
    <row r="100" customFormat="false" ht="15" hidden="false" customHeight="false" outlineLevel="0" collapsed="false">
      <c r="A100" s="5"/>
      <c r="B100" s="5"/>
      <c r="C100" s="6"/>
      <c r="D100" s="7"/>
      <c r="E100" s="5"/>
      <c r="F100" s="8"/>
      <c r="G100" s="9" t="str">
        <f aca="false">IF(C100="","",","&amp;SUBSTITUTE(SUBSTITUTE(SUBSTITUTE(SUBSTITUTE(SUBSTITUTE(SUBSTITUTE(TRIM(C100)," y ",","),"y",",")," ",","),".",","),"/",","),"-",",")&amp;",")</f>
        <v/>
      </c>
    </row>
    <row r="101" customFormat="false" ht="15" hidden="false" customHeight="false" outlineLevel="0" collapsed="false">
      <c r="A101" s="5"/>
      <c r="B101" s="5"/>
      <c r="C101" s="6"/>
      <c r="D101" s="7"/>
      <c r="E101" s="5"/>
      <c r="F101" s="8"/>
      <c r="G101" s="9" t="str">
        <f aca="false">IF(C101="","",","&amp;SUBSTITUTE(SUBSTITUTE(SUBSTITUTE(SUBSTITUTE(SUBSTITUTE(SUBSTITUTE(TRIM(C101)," y ",","),"y",",")," ",","),".",","),"/",","),"-",",")&amp;",")</f>
        <v/>
      </c>
    </row>
    <row r="102" customFormat="false" ht="15" hidden="false" customHeight="false" outlineLevel="0" collapsed="false">
      <c r="A102" s="5"/>
      <c r="B102" s="5"/>
      <c r="C102" s="6"/>
      <c r="D102" s="7"/>
      <c r="E102" s="5"/>
      <c r="F102" s="8"/>
      <c r="G102" s="9" t="str">
        <f aca="false">IF(C102="","",","&amp;SUBSTITUTE(SUBSTITUTE(SUBSTITUTE(SUBSTITUTE(SUBSTITUTE(SUBSTITUTE(TRIM(C102)," y ",","),"y",",")," ",","),".",","),"/",","),"-",",")&amp;",")</f>
        <v/>
      </c>
    </row>
    <row r="103" customFormat="false" ht="15" hidden="false" customHeight="false" outlineLevel="0" collapsed="false">
      <c r="A103" s="5"/>
      <c r="B103" s="5"/>
      <c r="C103" s="6"/>
      <c r="D103" s="7"/>
      <c r="E103" s="5"/>
      <c r="F103" s="8"/>
      <c r="G103" s="9" t="str">
        <f aca="false">IF(C103="","",","&amp;SUBSTITUTE(SUBSTITUTE(SUBSTITUTE(SUBSTITUTE(SUBSTITUTE(SUBSTITUTE(TRIM(C103)," y ",","),"y",",")," ",","),".",","),"/",","),"-",",")&amp;",")</f>
        <v/>
      </c>
    </row>
    <row r="104" customFormat="false" ht="15" hidden="false" customHeight="false" outlineLevel="0" collapsed="false">
      <c r="A104" s="5"/>
      <c r="B104" s="5"/>
      <c r="C104" s="6"/>
      <c r="D104" s="7"/>
      <c r="E104" s="5"/>
      <c r="F104" s="8"/>
      <c r="G104" s="9" t="str">
        <f aca="false">IF(C104="","",","&amp;SUBSTITUTE(SUBSTITUTE(SUBSTITUTE(SUBSTITUTE(SUBSTITUTE(SUBSTITUTE(TRIM(C104)," y ",","),"y",",")," ",","),".",","),"/",","),"-",",")&amp;",")</f>
        <v/>
      </c>
    </row>
    <row r="105" customFormat="false" ht="15" hidden="false" customHeight="false" outlineLevel="0" collapsed="false">
      <c r="A105" s="5"/>
      <c r="B105" s="5"/>
      <c r="C105" s="6"/>
      <c r="D105" s="7"/>
      <c r="E105" s="5"/>
      <c r="F105" s="8"/>
      <c r="G105" s="9" t="str">
        <f aca="false">IF(C105="","",","&amp;SUBSTITUTE(SUBSTITUTE(SUBSTITUTE(SUBSTITUTE(SUBSTITUTE(SUBSTITUTE(TRIM(C105)," y ",","),"y",",")," ",","),".",","),"/",","),"-",",")&amp;",")</f>
        <v/>
      </c>
    </row>
    <row r="106" customFormat="false" ht="15" hidden="false" customHeight="false" outlineLevel="0" collapsed="false">
      <c r="A106" s="5"/>
      <c r="B106" s="5"/>
      <c r="C106" s="6"/>
      <c r="D106" s="7"/>
      <c r="E106" s="5"/>
      <c r="F106" s="8"/>
      <c r="G106" s="9" t="str">
        <f aca="false">IF(C106="","",","&amp;SUBSTITUTE(SUBSTITUTE(SUBSTITUTE(SUBSTITUTE(SUBSTITUTE(SUBSTITUTE(TRIM(C106)," y ",","),"y",",")," ",","),".",","),"/",","),"-",",")&amp;",")</f>
        <v/>
      </c>
    </row>
    <row r="107" customFormat="false" ht="15" hidden="false" customHeight="false" outlineLevel="0" collapsed="false">
      <c r="A107" s="5"/>
      <c r="B107" s="5"/>
      <c r="C107" s="6"/>
      <c r="D107" s="7"/>
      <c r="E107" s="5"/>
      <c r="F107" s="8"/>
      <c r="G107" s="9" t="str">
        <f aca="false">IF(C107="","",","&amp;SUBSTITUTE(SUBSTITUTE(SUBSTITUTE(SUBSTITUTE(SUBSTITUTE(SUBSTITUTE(TRIM(C107)," y ",","),"y",",")," ",","),".",","),"/",","),"-",",")&amp;",")</f>
        <v/>
      </c>
    </row>
    <row r="108" customFormat="false" ht="15" hidden="false" customHeight="false" outlineLevel="0" collapsed="false">
      <c r="A108" s="5"/>
      <c r="B108" s="5"/>
      <c r="C108" s="6"/>
      <c r="D108" s="7"/>
      <c r="E108" s="5"/>
      <c r="F108" s="8"/>
      <c r="G108" s="9" t="str">
        <f aca="false">IF(C108="","",","&amp;SUBSTITUTE(SUBSTITUTE(SUBSTITUTE(SUBSTITUTE(SUBSTITUTE(SUBSTITUTE(TRIM(C108)," y ",","),"y",",")," ",","),".",","),"/",","),"-",",")&amp;",")</f>
        <v/>
      </c>
    </row>
    <row r="109" customFormat="false" ht="15" hidden="false" customHeight="false" outlineLevel="0" collapsed="false">
      <c r="A109" s="5"/>
      <c r="B109" s="5"/>
      <c r="C109" s="6"/>
      <c r="D109" s="7"/>
      <c r="E109" s="5"/>
      <c r="F109" s="8"/>
      <c r="G109" s="9" t="str">
        <f aca="false">IF(C109="","",","&amp;SUBSTITUTE(SUBSTITUTE(SUBSTITUTE(SUBSTITUTE(SUBSTITUTE(SUBSTITUTE(TRIM(C109)," y ",","),"y",",")," ",","),".",","),"/",","),"-",",")&amp;",")</f>
        <v/>
      </c>
    </row>
    <row r="110" customFormat="false" ht="15" hidden="false" customHeight="false" outlineLevel="0" collapsed="false">
      <c r="A110" s="5"/>
      <c r="B110" s="5"/>
      <c r="C110" s="6"/>
      <c r="D110" s="7"/>
      <c r="E110" s="5"/>
      <c r="F110" s="8"/>
      <c r="G110" s="9" t="str">
        <f aca="false">IF(C110="","",","&amp;SUBSTITUTE(SUBSTITUTE(SUBSTITUTE(SUBSTITUTE(SUBSTITUTE(SUBSTITUTE(TRIM(C110)," y ",","),"y",",")," ",","),".",","),"/",","),"-",",")&amp;",")</f>
        <v/>
      </c>
    </row>
    <row r="111" customFormat="false" ht="15" hidden="false" customHeight="false" outlineLevel="0" collapsed="false">
      <c r="A111" s="5"/>
      <c r="B111" s="5"/>
      <c r="C111" s="6"/>
      <c r="D111" s="7"/>
      <c r="E111" s="5"/>
      <c r="F111" s="8"/>
      <c r="G111" s="9" t="str">
        <f aca="false">IF(C111="","",","&amp;SUBSTITUTE(SUBSTITUTE(SUBSTITUTE(SUBSTITUTE(SUBSTITUTE(SUBSTITUTE(TRIM(C111)," y ",","),"y",",")," ",","),".",","),"/",","),"-",",")&amp;",")</f>
        <v/>
      </c>
    </row>
    <row r="112" customFormat="false" ht="15" hidden="false" customHeight="false" outlineLevel="0" collapsed="false">
      <c r="A112" s="5"/>
      <c r="B112" s="5"/>
      <c r="C112" s="6"/>
      <c r="D112" s="7"/>
      <c r="E112" s="5"/>
      <c r="F112" s="8"/>
      <c r="G112" s="9" t="str">
        <f aca="false">IF(C112="","",","&amp;SUBSTITUTE(SUBSTITUTE(SUBSTITUTE(SUBSTITUTE(SUBSTITUTE(SUBSTITUTE(TRIM(C112)," y ",","),"y",",")," ",","),".",","),"/",","),"-",",")&amp;",")</f>
        <v/>
      </c>
    </row>
    <row r="113" customFormat="false" ht="15" hidden="false" customHeight="false" outlineLevel="0" collapsed="false">
      <c r="A113" s="5"/>
      <c r="B113" s="5"/>
      <c r="C113" s="6"/>
      <c r="D113" s="7"/>
      <c r="E113" s="5"/>
      <c r="F113" s="8"/>
      <c r="G113" s="9" t="str">
        <f aca="false">IF(C113="","",","&amp;SUBSTITUTE(SUBSTITUTE(SUBSTITUTE(SUBSTITUTE(SUBSTITUTE(SUBSTITUTE(TRIM(C113)," y ",","),"y",",")," ",","),".",","),"/",","),"-",",")&amp;",")</f>
        <v/>
      </c>
    </row>
    <row r="114" customFormat="false" ht="15" hidden="false" customHeight="false" outlineLevel="0" collapsed="false">
      <c r="A114" s="5"/>
      <c r="B114" s="5"/>
      <c r="C114" s="6"/>
      <c r="D114" s="7"/>
      <c r="E114" s="5"/>
      <c r="F114" s="8"/>
      <c r="G114" s="9" t="str">
        <f aca="false">IF(C114="","",","&amp;SUBSTITUTE(SUBSTITUTE(SUBSTITUTE(SUBSTITUTE(SUBSTITUTE(SUBSTITUTE(TRIM(C114)," y ",","),"y",",")," ",","),".",","),"/",","),"-",",")&amp;",")</f>
        <v/>
      </c>
    </row>
    <row r="115" customFormat="false" ht="15" hidden="false" customHeight="false" outlineLevel="0" collapsed="false">
      <c r="A115" s="5"/>
      <c r="B115" s="5"/>
      <c r="C115" s="6"/>
      <c r="D115" s="7"/>
      <c r="E115" s="5"/>
      <c r="F115" s="8"/>
      <c r="G115" s="9" t="str">
        <f aca="false">IF(C115="","",","&amp;SUBSTITUTE(SUBSTITUTE(SUBSTITUTE(SUBSTITUTE(SUBSTITUTE(SUBSTITUTE(TRIM(C115)," y ",","),"y",",")," ",","),".",","),"/",","),"-",",")&amp;",")</f>
        <v/>
      </c>
    </row>
    <row r="116" customFormat="false" ht="15" hidden="false" customHeight="false" outlineLevel="0" collapsed="false">
      <c r="A116" s="5"/>
      <c r="B116" s="5"/>
      <c r="C116" s="6"/>
      <c r="D116" s="7"/>
      <c r="E116" s="5"/>
      <c r="F116" s="8"/>
      <c r="G116" s="9" t="str">
        <f aca="false">IF(C116="","",","&amp;SUBSTITUTE(SUBSTITUTE(SUBSTITUTE(SUBSTITUTE(SUBSTITUTE(SUBSTITUTE(TRIM(C116)," y ",","),"y",",")," ",","),".",","),"/",","),"-",",")&amp;",")</f>
        <v/>
      </c>
    </row>
    <row r="117" customFormat="false" ht="15" hidden="false" customHeight="false" outlineLevel="0" collapsed="false">
      <c r="A117" s="5"/>
      <c r="B117" s="5"/>
      <c r="C117" s="6"/>
      <c r="D117" s="7"/>
      <c r="E117" s="5"/>
      <c r="F117" s="8"/>
      <c r="G117" s="9" t="str">
        <f aca="false">IF(C117="","",","&amp;SUBSTITUTE(SUBSTITUTE(SUBSTITUTE(SUBSTITUTE(SUBSTITUTE(SUBSTITUTE(TRIM(C117)," y ",","),"y",",")," ",","),".",","),"/",","),"-",",")&amp;",")</f>
        <v/>
      </c>
    </row>
    <row r="118" customFormat="false" ht="15" hidden="false" customHeight="false" outlineLevel="0" collapsed="false">
      <c r="A118" s="5"/>
      <c r="B118" s="5"/>
      <c r="C118" s="6"/>
      <c r="D118" s="7"/>
      <c r="E118" s="5"/>
      <c r="F118" s="8"/>
      <c r="G118" s="9" t="str">
        <f aca="false">IF(C118="","",","&amp;SUBSTITUTE(SUBSTITUTE(SUBSTITUTE(SUBSTITUTE(SUBSTITUTE(SUBSTITUTE(TRIM(C118)," y ",","),"y",",")," ",","),".",","),"/",","),"-",",")&amp;",")</f>
        <v/>
      </c>
    </row>
    <row r="119" customFormat="false" ht="15" hidden="false" customHeight="false" outlineLevel="0" collapsed="false">
      <c r="A119" s="5"/>
      <c r="B119" s="5"/>
      <c r="C119" s="6"/>
      <c r="D119" s="7"/>
      <c r="E119" s="5"/>
      <c r="F119" s="8"/>
      <c r="G119" s="9" t="str">
        <f aca="false">IF(C119="","",","&amp;SUBSTITUTE(SUBSTITUTE(SUBSTITUTE(SUBSTITUTE(SUBSTITUTE(SUBSTITUTE(TRIM(C119)," y ",","),"y",",")," ",","),".",","),"/",","),"-",",")&amp;",")</f>
        <v/>
      </c>
    </row>
    <row r="120" customFormat="false" ht="15" hidden="false" customHeight="false" outlineLevel="0" collapsed="false">
      <c r="A120" s="5"/>
      <c r="B120" s="5"/>
      <c r="C120" s="6"/>
      <c r="D120" s="7"/>
      <c r="E120" s="5"/>
      <c r="F120" s="8"/>
      <c r="G120" s="9" t="str">
        <f aca="false">IF(C120="","",","&amp;SUBSTITUTE(SUBSTITUTE(SUBSTITUTE(SUBSTITUTE(SUBSTITUTE(SUBSTITUTE(TRIM(C120)," y ",","),"y",",")," ",","),".",","),"/",","),"-",",")&amp;",")</f>
        <v/>
      </c>
    </row>
    <row r="121" customFormat="false" ht="15" hidden="false" customHeight="false" outlineLevel="0" collapsed="false">
      <c r="A121" s="5"/>
      <c r="B121" s="5"/>
      <c r="C121" s="6"/>
      <c r="D121" s="7"/>
      <c r="E121" s="5"/>
      <c r="F121" s="8"/>
      <c r="G121" s="9" t="str">
        <f aca="false">IF(C121="","",","&amp;SUBSTITUTE(SUBSTITUTE(SUBSTITUTE(SUBSTITUTE(SUBSTITUTE(SUBSTITUTE(TRIM(C121)," y ",","),"y",",")," ",","),".",","),"/",","),"-",",")&amp;",")</f>
        <v/>
      </c>
    </row>
    <row r="122" customFormat="false" ht="15" hidden="false" customHeight="false" outlineLevel="0" collapsed="false">
      <c r="A122" s="5"/>
      <c r="B122" s="5"/>
      <c r="C122" s="6"/>
      <c r="D122" s="7"/>
      <c r="E122" s="5"/>
      <c r="F122" s="8"/>
      <c r="G122" s="9" t="str">
        <f aca="false">IF(C122="","",","&amp;SUBSTITUTE(SUBSTITUTE(SUBSTITUTE(SUBSTITUTE(SUBSTITUTE(SUBSTITUTE(TRIM(C122)," y ",","),"y",",")," ",","),".",","),"/",","),"-",",")&amp;",")</f>
        <v/>
      </c>
    </row>
    <row r="123" customFormat="false" ht="15" hidden="false" customHeight="false" outlineLevel="0" collapsed="false">
      <c r="A123" s="5"/>
      <c r="B123" s="5"/>
      <c r="C123" s="6"/>
      <c r="D123" s="7"/>
      <c r="E123" s="5"/>
      <c r="F123" s="8"/>
      <c r="G123" s="9" t="str">
        <f aca="false">IF(C123="","",","&amp;SUBSTITUTE(SUBSTITUTE(SUBSTITUTE(SUBSTITUTE(SUBSTITUTE(SUBSTITUTE(TRIM(C123)," y ",","),"y",",")," ",","),".",","),"/",","),"-",",")&amp;",")</f>
        <v/>
      </c>
    </row>
    <row r="124" customFormat="false" ht="15" hidden="false" customHeight="false" outlineLevel="0" collapsed="false">
      <c r="A124" s="5"/>
      <c r="B124" s="5"/>
      <c r="C124" s="6"/>
      <c r="D124" s="7"/>
      <c r="E124" s="5"/>
      <c r="F124" s="8"/>
      <c r="G124" s="9" t="str">
        <f aca="false">IF(C124="","",","&amp;SUBSTITUTE(SUBSTITUTE(SUBSTITUTE(SUBSTITUTE(SUBSTITUTE(SUBSTITUTE(TRIM(C124)," y ",","),"y",",")," ",","),".",","),"/",","),"-",",")&amp;",")</f>
        <v/>
      </c>
    </row>
    <row r="125" customFormat="false" ht="15" hidden="false" customHeight="false" outlineLevel="0" collapsed="false">
      <c r="A125" s="5"/>
      <c r="B125" s="5"/>
      <c r="C125" s="6"/>
      <c r="D125" s="7"/>
      <c r="E125" s="5"/>
      <c r="F125" s="8"/>
      <c r="G125" s="9" t="str">
        <f aca="false">IF(C125="","",","&amp;SUBSTITUTE(SUBSTITUTE(SUBSTITUTE(SUBSTITUTE(SUBSTITUTE(SUBSTITUTE(TRIM(C125)," y ",","),"y",",")," ",","),".",","),"/",","),"-",",")&amp;",")</f>
        <v/>
      </c>
    </row>
    <row r="126" customFormat="false" ht="15" hidden="false" customHeight="false" outlineLevel="0" collapsed="false">
      <c r="A126" s="5"/>
      <c r="B126" s="5"/>
      <c r="C126" s="6"/>
      <c r="D126" s="7"/>
      <c r="E126" s="5"/>
      <c r="F126" s="8"/>
      <c r="G126" s="9" t="str">
        <f aca="false">IF(C126="","",","&amp;SUBSTITUTE(SUBSTITUTE(SUBSTITUTE(SUBSTITUTE(SUBSTITUTE(SUBSTITUTE(TRIM(C126)," y ",","),"y",",")," ",","),".",","),"/",","),"-",",")&amp;",")</f>
        <v/>
      </c>
    </row>
    <row r="127" customFormat="false" ht="15" hidden="false" customHeight="false" outlineLevel="0" collapsed="false">
      <c r="A127" s="5"/>
      <c r="B127" s="5"/>
      <c r="C127" s="6"/>
      <c r="D127" s="7"/>
      <c r="E127" s="5"/>
      <c r="F127" s="8"/>
      <c r="G127" s="9" t="str">
        <f aca="false">IF(C127="","",","&amp;SUBSTITUTE(SUBSTITUTE(SUBSTITUTE(SUBSTITUTE(SUBSTITUTE(SUBSTITUTE(TRIM(C127)," y ",","),"y",",")," ",","),".",","),"/",","),"-",",")&amp;",")</f>
        <v/>
      </c>
    </row>
    <row r="128" customFormat="false" ht="15" hidden="false" customHeight="false" outlineLevel="0" collapsed="false">
      <c r="A128" s="5"/>
      <c r="B128" s="5"/>
      <c r="C128" s="6"/>
      <c r="D128" s="7"/>
      <c r="E128" s="5"/>
      <c r="F128" s="8"/>
      <c r="G128" s="9" t="str">
        <f aca="false">IF(C128="","",","&amp;SUBSTITUTE(SUBSTITUTE(SUBSTITUTE(SUBSTITUTE(SUBSTITUTE(SUBSTITUTE(TRIM(C128)," y ",","),"y",",")," ",","),".",","),"/",","),"-",",")&amp;",")</f>
        <v/>
      </c>
    </row>
    <row r="129" customFormat="false" ht="15" hidden="false" customHeight="false" outlineLevel="0" collapsed="false">
      <c r="A129" s="5"/>
      <c r="B129" s="5"/>
      <c r="C129" s="6"/>
      <c r="D129" s="7"/>
      <c r="E129" s="5"/>
      <c r="F129" s="8"/>
      <c r="G129" s="9" t="str">
        <f aca="false">IF(C129="","",","&amp;SUBSTITUTE(SUBSTITUTE(SUBSTITUTE(SUBSTITUTE(SUBSTITUTE(SUBSTITUTE(TRIM(C129)," y ",","),"y",",")," ",","),".",","),"/",","),"-",",")&amp;",")</f>
        <v/>
      </c>
    </row>
    <row r="130" customFormat="false" ht="15" hidden="false" customHeight="false" outlineLevel="0" collapsed="false">
      <c r="A130" s="5"/>
      <c r="B130" s="5"/>
      <c r="C130" s="6"/>
      <c r="D130" s="7"/>
      <c r="E130" s="5"/>
      <c r="F130" s="8"/>
      <c r="G130" s="9" t="str">
        <f aca="false">IF(C130="","",","&amp;SUBSTITUTE(SUBSTITUTE(SUBSTITUTE(SUBSTITUTE(SUBSTITUTE(SUBSTITUTE(TRIM(C130)," y ",","),"y",",")," ",","),".",","),"/",","),"-",",")&amp;",")</f>
        <v/>
      </c>
    </row>
    <row r="131" customFormat="false" ht="15" hidden="false" customHeight="false" outlineLevel="0" collapsed="false">
      <c r="A131" s="5"/>
      <c r="B131" s="5"/>
      <c r="C131" s="6"/>
      <c r="D131" s="7"/>
      <c r="E131" s="5"/>
      <c r="F131" s="8"/>
      <c r="G131" s="9" t="str">
        <f aca="false">IF(C131="","",","&amp;SUBSTITUTE(SUBSTITUTE(SUBSTITUTE(SUBSTITUTE(SUBSTITUTE(SUBSTITUTE(TRIM(C131)," y ",","),"y",",")," ",","),".",","),"/",","),"-",",")&amp;",")</f>
        <v/>
      </c>
    </row>
    <row r="132" customFormat="false" ht="15" hidden="false" customHeight="false" outlineLevel="0" collapsed="false">
      <c r="A132" s="5"/>
      <c r="B132" s="5"/>
      <c r="C132" s="6"/>
      <c r="D132" s="7"/>
      <c r="E132" s="5"/>
      <c r="F132" s="8"/>
      <c r="G132" s="9" t="str">
        <f aca="false">IF(C132="","",","&amp;SUBSTITUTE(SUBSTITUTE(SUBSTITUTE(SUBSTITUTE(SUBSTITUTE(SUBSTITUTE(TRIM(C132)," y ",","),"y",",")," ",","),".",","),"/",","),"-",",")&amp;",")</f>
        <v/>
      </c>
    </row>
    <row r="133" customFormat="false" ht="15" hidden="false" customHeight="false" outlineLevel="0" collapsed="false">
      <c r="A133" s="5"/>
      <c r="B133" s="5"/>
      <c r="C133" s="6"/>
      <c r="D133" s="7"/>
      <c r="E133" s="5"/>
      <c r="F133" s="8"/>
      <c r="G133" s="9" t="str">
        <f aca="false">IF(C133="","",","&amp;SUBSTITUTE(SUBSTITUTE(SUBSTITUTE(SUBSTITUTE(SUBSTITUTE(SUBSTITUTE(TRIM(C133)," y ",","),"y",",")," ",","),".",","),"/",","),"-",",")&amp;",")</f>
        <v/>
      </c>
    </row>
    <row r="134" customFormat="false" ht="15" hidden="false" customHeight="false" outlineLevel="0" collapsed="false">
      <c r="A134" s="5"/>
      <c r="B134" s="5"/>
      <c r="C134" s="6"/>
      <c r="D134" s="7"/>
      <c r="E134" s="5"/>
      <c r="F134" s="8"/>
      <c r="G134" s="9" t="str">
        <f aca="false">IF(C134="","",","&amp;SUBSTITUTE(SUBSTITUTE(SUBSTITUTE(SUBSTITUTE(SUBSTITUTE(SUBSTITUTE(TRIM(C134)," y ",","),"y",",")," ",","),".",","),"/",","),"-",",")&amp;",")</f>
        <v/>
      </c>
    </row>
    <row r="135" customFormat="false" ht="15" hidden="false" customHeight="false" outlineLevel="0" collapsed="false">
      <c r="A135" s="5"/>
      <c r="B135" s="5"/>
      <c r="C135" s="6"/>
      <c r="D135" s="7"/>
      <c r="E135" s="5"/>
      <c r="F135" s="8"/>
      <c r="G135" s="9" t="str">
        <f aca="false">IF(C135="","",","&amp;SUBSTITUTE(SUBSTITUTE(SUBSTITUTE(SUBSTITUTE(SUBSTITUTE(SUBSTITUTE(TRIM(C135)," y ",","),"y",",")," ",","),".",","),"/",","),"-",",")&amp;",")</f>
        <v/>
      </c>
    </row>
    <row r="136" customFormat="false" ht="15" hidden="false" customHeight="false" outlineLevel="0" collapsed="false">
      <c r="A136" s="5"/>
      <c r="B136" s="5"/>
      <c r="C136" s="6"/>
      <c r="D136" s="7"/>
      <c r="E136" s="5"/>
      <c r="F136" s="8"/>
      <c r="G136" s="9" t="str">
        <f aca="false">IF(C136="","",","&amp;SUBSTITUTE(SUBSTITUTE(SUBSTITUTE(SUBSTITUTE(SUBSTITUTE(SUBSTITUTE(TRIM(C136)," y ",","),"y",",")," ",","),".",","),"/",","),"-",",")&amp;",")</f>
        <v/>
      </c>
    </row>
    <row r="137" customFormat="false" ht="15" hidden="false" customHeight="false" outlineLevel="0" collapsed="false">
      <c r="A137" s="5"/>
      <c r="B137" s="5"/>
      <c r="C137" s="6"/>
      <c r="D137" s="7"/>
      <c r="E137" s="5"/>
      <c r="F137" s="8"/>
      <c r="G137" s="9" t="str">
        <f aca="false">IF(C137="","",","&amp;SUBSTITUTE(SUBSTITUTE(SUBSTITUTE(SUBSTITUTE(SUBSTITUTE(SUBSTITUTE(TRIM(C137)," y ",","),"y",",")," ",","),".",","),"/",","),"-",",")&amp;",")</f>
        <v/>
      </c>
    </row>
    <row r="138" customFormat="false" ht="15" hidden="false" customHeight="false" outlineLevel="0" collapsed="false">
      <c r="A138" s="5"/>
      <c r="B138" s="5"/>
      <c r="C138" s="6"/>
      <c r="D138" s="7"/>
      <c r="E138" s="5"/>
      <c r="F138" s="8"/>
      <c r="G138" s="9" t="str">
        <f aca="false">IF(C138="","",","&amp;SUBSTITUTE(SUBSTITUTE(SUBSTITUTE(SUBSTITUTE(SUBSTITUTE(SUBSTITUTE(TRIM(C138)," y ",","),"y",",")," ",","),".",","),"/",","),"-",",")&amp;",")</f>
        <v/>
      </c>
    </row>
    <row r="139" customFormat="false" ht="15" hidden="false" customHeight="false" outlineLevel="0" collapsed="false">
      <c r="A139" s="5"/>
      <c r="B139" s="5"/>
      <c r="C139" s="6"/>
      <c r="D139" s="7"/>
      <c r="E139" s="5"/>
      <c r="F139" s="8"/>
      <c r="G139" s="9" t="str">
        <f aca="false">IF(C139="","",","&amp;SUBSTITUTE(SUBSTITUTE(SUBSTITUTE(SUBSTITUTE(SUBSTITUTE(SUBSTITUTE(TRIM(C139)," y ",","),"y",",")," ",","),".",","),"/",","),"-",",")&amp;",")</f>
        <v/>
      </c>
    </row>
    <row r="140" customFormat="false" ht="15" hidden="false" customHeight="false" outlineLevel="0" collapsed="false">
      <c r="A140" s="5"/>
      <c r="B140" s="5"/>
      <c r="C140" s="6"/>
      <c r="D140" s="7"/>
      <c r="E140" s="5"/>
      <c r="F140" s="8"/>
      <c r="G140" s="9" t="str">
        <f aca="false">IF(C140="","",","&amp;SUBSTITUTE(SUBSTITUTE(SUBSTITUTE(SUBSTITUTE(SUBSTITUTE(SUBSTITUTE(TRIM(C140)," y ",","),"y",",")," ",","),".",","),"/",","),"-",",")&amp;",")</f>
        <v/>
      </c>
    </row>
    <row r="141" customFormat="false" ht="15" hidden="false" customHeight="false" outlineLevel="0" collapsed="false">
      <c r="A141" s="5"/>
      <c r="B141" s="5"/>
      <c r="C141" s="6"/>
      <c r="D141" s="7"/>
      <c r="E141" s="5"/>
      <c r="F141" s="8"/>
      <c r="G141" s="9" t="str">
        <f aca="false">IF(C141="","",","&amp;SUBSTITUTE(SUBSTITUTE(SUBSTITUTE(SUBSTITUTE(SUBSTITUTE(SUBSTITUTE(TRIM(C141)," y ",","),"y",",")," ",","),".",","),"/",","),"-",",")&amp;",")</f>
        <v/>
      </c>
    </row>
    <row r="142" customFormat="false" ht="15" hidden="false" customHeight="false" outlineLevel="0" collapsed="false">
      <c r="A142" s="5"/>
      <c r="B142" s="5"/>
      <c r="C142" s="6"/>
      <c r="D142" s="7"/>
      <c r="E142" s="5"/>
      <c r="F142" s="8"/>
      <c r="G142" s="9" t="str">
        <f aca="false">IF(C142="","",","&amp;SUBSTITUTE(SUBSTITUTE(SUBSTITUTE(SUBSTITUTE(SUBSTITUTE(SUBSTITUTE(TRIM(C142)," y ",","),"y",",")," ",","),".",","),"/",","),"-",",")&amp;",")</f>
        <v/>
      </c>
    </row>
    <row r="143" customFormat="false" ht="15" hidden="false" customHeight="false" outlineLevel="0" collapsed="false">
      <c r="A143" s="5"/>
      <c r="B143" s="5"/>
      <c r="C143" s="6"/>
      <c r="D143" s="7"/>
      <c r="E143" s="5"/>
      <c r="F143" s="8"/>
      <c r="G143" s="9" t="str">
        <f aca="false">IF(C143="","",","&amp;SUBSTITUTE(SUBSTITUTE(SUBSTITUTE(SUBSTITUTE(SUBSTITUTE(SUBSTITUTE(TRIM(C143)," y ",","),"y",",")," ",","),".",","),"/",","),"-",",")&amp;",")</f>
        <v/>
      </c>
    </row>
    <row r="144" customFormat="false" ht="15" hidden="false" customHeight="false" outlineLevel="0" collapsed="false">
      <c r="A144" s="5"/>
      <c r="B144" s="5"/>
      <c r="C144" s="6"/>
      <c r="D144" s="7"/>
      <c r="E144" s="5"/>
      <c r="F144" s="8"/>
      <c r="G144" s="9" t="str">
        <f aca="false">IF(C144="","",","&amp;SUBSTITUTE(SUBSTITUTE(SUBSTITUTE(SUBSTITUTE(SUBSTITUTE(SUBSTITUTE(TRIM(C144)," y ",","),"y",",")," ",","),".",","),"/",","),"-",",")&amp;",")</f>
        <v/>
      </c>
    </row>
    <row r="145" customFormat="false" ht="15" hidden="false" customHeight="false" outlineLevel="0" collapsed="false">
      <c r="A145" s="5"/>
      <c r="B145" s="5"/>
      <c r="C145" s="6"/>
      <c r="D145" s="7"/>
      <c r="E145" s="5"/>
      <c r="F145" s="8"/>
      <c r="G145" s="9" t="str">
        <f aca="false">IF(C145="","",","&amp;SUBSTITUTE(SUBSTITUTE(SUBSTITUTE(SUBSTITUTE(SUBSTITUTE(SUBSTITUTE(TRIM(C145)," y ",","),"y",",")," ",","),".",","),"/",","),"-",",")&amp;",")</f>
        <v/>
      </c>
    </row>
    <row r="146" customFormat="false" ht="15" hidden="false" customHeight="false" outlineLevel="0" collapsed="false">
      <c r="A146" s="5"/>
      <c r="B146" s="5"/>
      <c r="C146" s="6"/>
      <c r="D146" s="7"/>
      <c r="E146" s="5"/>
      <c r="F146" s="8"/>
      <c r="G146" s="9" t="str">
        <f aca="false">IF(C146="","",","&amp;SUBSTITUTE(SUBSTITUTE(SUBSTITUTE(SUBSTITUTE(SUBSTITUTE(SUBSTITUTE(TRIM(C146)," y ",","),"y",",")," ",","),".",","),"/",","),"-",",")&amp;",")</f>
        <v/>
      </c>
    </row>
    <row r="147" customFormat="false" ht="15" hidden="false" customHeight="false" outlineLevel="0" collapsed="false">
      <c r="A147" s="5"/>
      <c r="B147" s="5"/>
      <c r="C147" s="6"/>
      <c r="D147" s="7"/>
      <c r="E147" s="5"/>
      <c r="F147" s="8"/>
      <c r="G147" s="9" t="str">
        <f aca="false">IF(C147="","",","&amp;SUBSTITUTE(SUBSTITUTE(SUBSTITUTE(SUBSTITUTE(SUBSTITUTE(SUBSTITUTE(TRIM(C147)," y ",","),"y",",")," ",","),".",","),"/",","),"-",",")&amp;",")</f>
        <v/>
      </c>
    </row>
    <row r="148" customFormat="false" ht="15" hidden="false" customHeight="false" outlineLevel="0" collapsed="false">
      <c r="A148" s="5"/>
      <c r="B148" s="5"/>
      <c r="C148" s="6"/>
      <c r="D148" s="7"/>
      <c r="E148" s="5"/>
      <c r="F148" s="8"/>
      <c r="G148" s="9" t="str">
        <f aca="false">IF(C148="","",","&amp;SUBSTITUTE(SUBSTITUTE(SUBSTITUTE(SUBSTITUTE(SUBSTITUTE(SUBSTITUTE(TRIM(C148)," y ",","),"y",",")," ",","),".",","),"/",","),"-",",")&amp;",")</f>
        <v/>
      </c>
    </row>
    <row r="149" customFormat="false" ht="15" hidden="false" customHeight="false" outlineLevel="0" collapsed="false">
      <c r="A149" s="5"/>
      <c r="B149" s="5"/>
      <c r="C149" s="6"/>
      <c r="D149" s="7"/>
      <c r="E149" s="5"/>
      <c r="F149" s="8"/>
      <c r="G149" s="9" t="str">
        <f aca="false">IF(C149="","",","&amp;SUBSTITUTE(SUBSTITUTE(SUBSTITUTE(SUBSTITUTE(SUBSTITUTE(SUBSTITUTE(TRIM(C149)," y ",","),"y",",")," ",","),".",","),"/",","),"-",",")&amp;",")</f>
        <v/>
      </c>
    </row>
    <row r="150" customFormat="false" ht="15" hidden="false" customHeight="false" outlineLevel="0" collapsed="false">
      <c r="A150" s="5"/>
      <c r="B150" s="5"/>
      <c r="C150" s="6"/>
      <c r="D150" s="7"/>
      <c r="E150" s="5"/>
      <c r="F150" s="8"/>
      <c r="G150" s="9" t="str">
        <f aca="false">IF(C150="","",","&amp;SUBSTITUTE(SUBSTITUTE(SUBSTITUTE(SUBSTITUTE(SUBSTITUTE(SUBSTITUTE(TRIM(C150)," y ",","),"y",",")," ",","),".",","),"/",","),"-",",")&amp;",")</f>
        <v/>
      </c>
    </row>
    <row r="151" customFormat="false" ht="15" hidden="false" customHeight="false" outlineLevel="0" collapsed="false">
      <c r="A151" s="5"/>
      <c r="B151" s="5"/>
      <c r="C151" s="6"/>
      <c r="D151" s="7"/>
      <c r="E151" s="5"/>
      <c r="F151" s="8"/>
      <c r="G151" s="9" t="str">
        <f aca="false">IF(C151="","",","&amp;SUBSTITUTE(SUBSTITUTE(SUBSTITUTE(SUBSTITUTE(SUBSTITUTE(SUBSTITUTE(TRIM(C151)," y ",","),"y",",")," ",","),".",","),"/",","),"-",",")&amp;",")</f>
        <v/>
      </c>
    </row>
    <row r="152" customFormat="false" ht="15" hidden="false" customHeight="false" outlineLevel="0" collapsed="false">
      <c r="A152" s="5"/>
      <c r="B152" s="5"/>
      <c r="C152" s="6"/>
      <c r="D152" s="7"/>
      <c r="E152" s="5"/>
      <c r="F152" s="8"/>
      <c r="G152" s="9" t="str">
        <f aca="false">IF(C152="","",","&amp;SUBSTITUTE(SUBSTITUTE(SUBSTITUTE(SUBSTITUTE(SUBSTITUTE(SUBSTITUTE(TRIM(C152)," y ",","),"y",",")," ",","),".",","),"/",","),"-",",")&amp;",")</f>
        <v/>
      </c>
    </row>
    <row r="153" customFormat="false" ht="15" hidden="false" customHeight="false" outlineLevel="0" collapsed="false">
      <c r="A153" s="5"/>
      <c r="B153" s="5"/>
      <c r="C153" s="6"/>
      <c r="D153" s="7"/>
      <c r="E153" s="5"/>
      <c r="F153" s="8"/>
      <c r="G153" s="9" t="str">
        <f aca="false">IF(C153="","",","&amp;SUBSTITUTE(SUBSTITUTE(SUBSTITUTE(SUBSTITUTE(SUBSTITUTE(SUBSTITUTE(TRIM(C153)," y ",","),"y",",")," ",","),".",","),"/",","),"-",",")&amp;",")</f>
        <v/>
      </c>
    </row>
    <row r="154" customFormat="false" ht="15" hidden="false" customHeight="false" outlineLevel="0" collapsed="false">
      <c r="A154" s="5"/>
      <c r="B154" s="5"/>
      <c r="C154" s="6"/>
      <c r="D154" s="7"/>
      <c r="E154" s="5"/>
      <c r="F154" s="8"/>
      <c r="G154" s="9" t="str">
        <f aca="false">IF(C154="","",","&amp;SUBSTITUTE(SUBSTITUTE(SUBSTITUTE(SUBSTITUTE(SUBSTITUTE(SUBSTITUTE(TRIM(C154)," y ",","),"y",",")," ",","),".",","),"/",","),"-",",")&amp;",")</f>
        <v/>
      </c>
    </row>
    <row r="155" customFormat="false" ht="15" hidden="false" customHeight="false" outlineLevel="0" collapsed="false">
      <c r="A155" s="5"/>
      <c r="B155" s="5"/>
      <c r="C155" s="6"/>
      <c r="D155" s="7"/>
      <c r="E155" s="5"/>
      <c r="F155" s="8"/>
      <c r="G155" s="9" t="str">
        <f aca="false">IF(C155="","",","&amp;SUBSTITUTE(SUBSTITUTE(SUBSTITUTE(SUBSTITUTE(SUBSTITUTE(SUBSTITUTE(TRIM(C155)," y ",","),"y",",")," ",","),".",","),"/",","),"-",",")&amp;",")</f>
        <v/>
      </c>
    </row>
    <row r="156" customFormat="false" ht="15" hidden="false" customHeight="false" outlineLevel="0" collapsed="false">
      <c r="A156" s="5"/>
      <c r="B156" s="5"/>
      <c r="C156" s="6"/>
      <c r="D156" s="7"/>
      <c r="E156" s="5"/>
      <c r="F156" s="8"/>
      <c r="G156" s="9" t="str">
        <f aca="false">IF(C156="","",","&amp;SUBSTITUTE(SUBSTITUTE(SUBSTITUTE(SUBSTITUTE(SUBSTITUTE(SUBSTITUTE(TRIM(C156)," y ",","),"y",",")," ",","),".",","),"/",","),"-",",")&amp;",")</f>
        <v/>
      </c>
    </row>
    <row r="157" customFormat="false" ht="15" hidden="false" customHeight="false" outlineLevel="0" collapsed="false">
      <c r="A157" s="5"/>
      <c r="B157" s="5"/>
      <c r="C157" s="6"/>
      <c r="D157" s="7"/>
      <c r="E157" s="5"/>
      <c r="F157" s="8"/>
      <c r="G157" s="9" t="str">
        <f aca="false">IF(C157="","",","&amp;SUBSTITUTE(SUBSTITUTE(SUBSTITUTE(SUBSTITUTE(SUBSTITUTE(SUBSTITUTE(TRIM(C157)," y ",","),"y",",")," ",","),".",","),"/",","),"-",",")&amp;",")</f>
        <v/>
      </c>
    </row>
    <row r="158" customFormat="false" ht="15" hidden="false" customHeight="false" outlineLevel="0" collapsed="false">
      <c r="A158" s="5"/>
      <c r="B158" s="5"/>
      <c r="C158" s="6"/>
      <c r="D158" s="7"/>
      <c r="E158" s="5"/>
      <c r="F158" s="8"/>
      <c r="G158" s="9" t="str">
        <f aca="false">IF(C158="","",","&amp;SUBSTITUTE(SUBSTITUTE(SUBSTITUTE(SUBSTITUTE(SUBSTITUTE(SUBSTITUTE(TRIM(C158)," y ",","),"y",",")," ",","),".",","),"/",","),"-",",")&amp;",")</f>
        <v/>
      </c>
    </row>
    <row r="159" customFormat="false" ht="15" hidden="false" customHeight="false" outlineLevel="0" collapsed="false">
      <c r="A159" s="5"/>
      <c r="B159" s="5"/>
      <c r="C159" s="6"/>
      <c r="D159" s="7"/>
      <c r="E159" s="5"/>
      <c r="F159" s="8"/>
      <c r="G159" s="9" t="str">
        <f aca="false">IF(C159="","",","&amp;SUBSTITUTE(SUBSTITUTE(SUBSTITUTE(SUBSTITUTE(SUBSTITUTE(SUBSTITUTE(TRIM(C159)," y ",","),"y",",")," ",","),".",","),"/",","),"-",",")&amp;",")</f>
        <v/>
      </c>
    </row>
    <row r="160" customFormat="false" ht="15" hidden="false" customHeight="false" outlineLevel="0" collapsed="false">
      <c r="A160" s="5"/>
      <c r="B160" s="5"/>
      <c r="C160" s="6"/>
      <c r="D160" s="7"/>
      <c r="E160" s="5"/>
      <c r="F160" s="8"/>
      <c r="G160" s="9" t="str">
        <f aca="false">IF(C160="","",","&amp;SUBSTITUTE(SUBSTITUTE(SUBSTITUTE(SUBSTITUTE(SUBSTITUTE(SUBSTITUTE(TRIM(C160)," y ",","),"y",",")," ",","),".",","),"/",","),"-",",")&amp;",")</f>
        <v/>
      </c>
    </row>
    <row r="161" customFormat="false" ht="15" hidden="false" customHeight="false" outlineLevel="0" collapsed="false">
      <c r="A161" s="5"/>
      <c r="B161" s="5"/>
      <c r="C161" s="6"/>
      <c r="D161" s="7"/>
      <c r="E161" s="5"/>
      <c r="F161" s="8"/>
      <c r="G161" s="9" t="str">
        <f aca="false">IF(C161="","",","&amp;SUBSTITUTE(SUBSTITUTE(SUBSTITUTE(SUBSTITUTE(SUBSTITUTE(SUBSTITUTE(TRIM(C161)," y ",","),"y",",")," ",","),".",","),"/",","),"-",",")&amp;",")</f>
        <v/>
      </c>
    </row>
    <row r="162" customFormat="false" ht="15" hidden="false" customHeight="false" outlineLevel="0" collapsed="false">
      <c r="A162" s="5"/>
      <c r="B162" s="5"/>
      <c r="C162" s="6"/>
      <c r="D162" s="7"/>
      <c r="E162" s="5"/>
      <c r="F162" s="8"/>
      <c r="G162" s="9" t="str">
        <f aca="false">IF(C162="","",","&amp;SUBSTITUTE(SUBSTITUTE(SUBSTITUTE(SUBSTITUTE(SUBSTITUTE(SUBSTITUTE(TRIM(C162)," y ",","),"y",",")," ",","),".",","),"/",","),"-",",")&amp;",")</f>
        <v/>
      </c>
    </row>
    <row r="163" customFormat="false" ht="15" hidden="false" customHeight="false" outlineLevel="0" collapsed="false">
      <c r="A163" s="5"/>
      <c r="B163" s="5"/>
      <c r="C163" s="6"/>
      <c r="D163" s="7"/>
      <c r="E163" s="5"/>
      <c r="F163" s="8"/>
      <c r="G163" s="9" t="str">
        <f aca="false">IF(C163="","",","&amp;SUBSTITUTE(SUBSTITUTE(SUBSTITUTE(SUBSTITUTE(SUBSTITUTE(SUBSTITUTE(TRIM(C163)," y ",","),"y",",")," ",","),".",","),"/",","),"-",",")&amp;",")</f>
        <v/>
      </c>
    </row>
    <row r="164" customFormat="false" ht="15" hidden="false" customHeight="false" outlineLevel="0" collapsed="false">
      <c r="A164" s="5"/>
      <c r="B164" s="5"/>
      <c r="C164" s="6"/>
      <c r="D164" s="7"/>
      <c r="E164" s="5"/>
      <c r="F164" s="8"/>
      <c r="G164" s="9" t="str">
        <f aca="false">IF(C164="","",","&amp;SUBSTITUTE(SUBSTITUTE(SUBSTITUTE(SUBSTITUTE(SUBSTITUTE(SUBSTITUTE(TRIM(C164)," y ",","),"y",",")," ",","),".",","),"/",","),"-",",")&amp;",")</f>
        <v/>
      </c>
    </row>
    <row r="165" customFormat="false" ht="15" hidden="false" customHeight="false" outlineLevel="0" collapsed="false">
      <c r="A165" s="5"/>
      <c r="B165" s="5"/>
      <c r="C165" s="6"/>
      <c r="D165" s="7"/>
      <c r="E165" s="5"/>
      <c r="F165" s="8"/>
      <c r="G165" s="9" t="str">
        <f aca="false">IF(C165="","",","&amp;SUBSTITUTE(SUBSTITUTE(SUBSTITUTE(SUBSTITUTE(SUBSTITUTE(SUBSTITUTE(TRIM(C165)," y ",","),"y",",")," ",","),".",","),"/",","),"-",",")&amp;",")</f>
        <v/>
      </c>
    </row>
    <row r="166" customFormat="false" ht="15" hidden="false" customHeight="false" outlineLevel="0" collapsed="false">
      <c r="A166" s="5"/>
      <c r="B166" s="5"/>
      <c r="C166" s="6"/>
      <c r="D166" s="7"/>
      <c r="E166" s="5"/>
      <c r="F166" s="8"/>
      <c r="G166" s="9" t="str">
        <f aca="false">IF(C166="","",","&amp;SUBSTITUTE(SUBSTITUTE(SUBSTITUTE(SUBSTITUTE(SUBSTITUTE(SUBSTITUTE(TRIM(C166)," y ",","),"y",",")," ",","),".",","),"/",","),"-",",")&amp;",")</f>
        <v/>
      </c>
    </row>
    <row r="167" customFormat="false" ht="15" hidden="false" customHeight="false" outlineLevel="0" collapsed="false">
      <c r="A167" s="5"/>
      <c r="B167" s="5"/>
      <c r="C167" s="6"/>
      <c r="D167" s="7"/>
      <c r="E167" s="5"/>
      <c r="F167" s="8"/>
      <c r="G167" s="9" t="str">
        <f aca="false">IF(C167="","",","&amp;SUBSTITUTE(SUBSTITUTE(SUBSTITUTE(SUBSTITUTE(SUBSTITUTE(SUBSTITUTE(TRIM(C167)," y ",","),"y",",")," ",","),".",","),"/",","),"-",",")&amp;",")</f>
        <v/>
      </c>
    </row>
    <row r="168" customFormat="false" ht="15" hidden="false" customHeight="false" outlineLevel="0" collapsed="false">
      <c r="A168" s="5"/>
      <c r="B168" s="5"/>
      <c r="C168" s="6"/>
      <c r="D168" s="7"/>
      <c r="E168" s="5"/>
      <c r="F168" s="8"/>
      <c r="G168" s="9" t="str">
        <f aca="false">IF(C168="","",","&amp;SUBSTITUTE(SUBSTITUTE(SUBSTITUTE(SUBSTITUTE(SUBSTITUTE(SUBSTITUTE(TRIM(C168)," y ",","),"y",",")," ",","),".",","),"/",","),"-",",")&amp;",")</f>
        <v/>
      </c>
    </row>
    <row r="169" customFormat="false" ht="15" hidden="false" customHeight="false" outlineLevel="0" collapsed="false">
      <c r="A169" s="5"/>
      <c r="B169" s="5"/>
      <c r="C169" s="6"/>
      <c r="D169" s="7"/>
      <c r="E169" s="5"/>
      <c r="F169" s="8"/>
      <c r="G169" s="9" t="str">
        <f aca="false">IF(C169="","",","&amp;SUBSTITUTE(SUBSTITUTE(SUBSTITUTE(SUBSTITUTE(SUBSTITUTE(SUBSTITUTE(TRIM(C169)," y ",","),"y",",")," ",","),".",","),"/",","),"-",",")&amp;",")</f>
        <v/>
      </c>
    </row>
    <row r="170" customFormat="false" ht="15" hidden="false" customHeight="false" outlineLevel="0" collapsed="false">
      <c r="A170" s="5"/>
      <c r="B170" s="5"/>
      <c r="C170" s="6"/>
      <c r="D170" s="7"/>
      <c r="E170" s="5"/>
      <c r="F170" s="8"/>
      <c r="G170" s="9" t="str">
        <f aca="false">IF(C170="","",","&amp;SUBSTITUTE(SUBSTITUTE(SUBSTITUTE(SUBSTITUTE(SUBSTITUTE(SUBSTITUTE(TRIM(C170)," y ",","),"y",",")," ",","),".",","),"/",","),"-",",")&amp;",")</f>
        <v/>
      </c>
    </row>
    <row r="171" customFormat="false" ht="15" hidden="false" customHeight="false" outlineLevel="0" collapsed="false">
      <c r="A171" s="5"/>
      <c r="B171" s="5"/>
      <c r="C171" s="6"/>
      <c r="D171" s="7"/>
      <c r="E171" s="5"/>
      <c r="F171" s="8"/>
      <c r="G171" s="9" t="str">
        <f aca="false">IF(C171="","",","&amp;SUBSTITUTE(SUBSTITUTE(SUBSTITUTE(SUBSTITUTE(SUBSTITUTE(SUBSTITUTE(TRIM(C171)," y ",","),"y",",")," ",","),".",","),"/",","),"-",",")&amp;",")</f>
        <v/>
      </c>
    </row>
    <row r="172" customFormat="false" ht="15" hidden="false" customHeight="false" outlineLevel="0" collapsed="false">
      <c r="A172" s="5"/>
      <c r="B172" s="5"/>
      <c r="C172" s="6"/>
      <c r="D172" s="7"/>
      <c r="E172" s="5"/>
      <c r="F172" s="8"/>
      <c r="G172" s="9" t="str">
        <f aca="false">IF(C172="","",","&amp;SUBSTITUTE(SUBSTITUTE(SUBSTITUTE(SUBSTITUTE(SUBSTITUTE(SUBSTITUTE(TRIM(C172)," y ",","),"y",",")," ",","),".",","),"/",","),"-",",")&amp;",")</f>
        <v/>
      </c>
    </row>
    <row r="173" customFormat="false" ht="15" hidden="false" customHeight="false" outlineLevel="0" collapsed="false">
      <c r="A173" s="5"/>
      <c r="B173" s="5"/>
      <c r="C173" s="6"/>
      <c r="D173" s="7"/>
      <c r="E173" s="5"/>
      <c r="F173" s="8"/>
      <c r="G173" s="9" t="str">
        <f aca="false">IF(C173="","",","&amp;SUBSTITUTE(SUBSTITUTE(SUBSTITUTE(SUBSTITUTE(SUBSTITUTE(SUBSTITUTE(TRIM(C173)," y ",","),"y",",")," ",","),".",","),"/",","),"-",",")&amp;",")</f>
        <v/>
      </c>
    </row>
    <row r="174" customFormat="false" ht="15" hidden="false" customHeight="false" outlineLevel="0" collapsed="false">
      <c r="A174" s="5"/>
      <c r="B174" s="5"/>
      <c r="C174" s="6"/>
      <c r="D174" s="7"/>
      <c r="E174" s="5"/>
      <c r="F174" s="8"/>
      <c r="G174" s="9" t="str">
        <f aca="false">IF(C174="","",","&amp;SUBSTITUTE(SUBSTITUTE(SUBSTITUTE(SUBSTITUTE(SUBSTITUTE(SUBSTITUTE(TRIM(C174)," y ",","),"y",",")," ",","),".",","),"/",","),"-",",")&amp;",")</f>
        <v/>
      </c>
    </row>
    <row r="175" customFormat="false" ht="15" hidden="false" customHeight="false" outlineLevel="0" collapsed="false">
      <c r="A175" s="5"/>
      <c r="B175" s="5"/>
      <c r="C175" s="6"/>
      <c r="D175" s="7"/>
      <c r="E175" s="5"/>
      <c r="F175" s="8"/>
      <c r="G175" s="9" t="str">
        <f aca="false">IF(C175="","",","&amp;SUBSTITUTE(SUBSTITUTE(SUBSTITUTE(SUBSTITUTE(SUBSTITUTE(SUBSTITUTE(TRIM(C175)," y ",","),"y",",")," ",","),".",","),"/",","),"-",",")&amp;",")</f>
        <v/>
      </c>
    </row>
    <row r="176" customFormat="false" ht="15" hidden="false" customHeight="false" outlineLevel="0" collapsed="false">
      <c r="A176" s="5"/>
      <c r="B176" s="5"/>
      <c r="C176" s="6"/>
      <c r="D176" s="7"/>
      <c r="E176" s="5"/>
      <c r="F176" s="8"/>
      <c r="G176" s="9" t="str">
        <f aca="false">IF(C176="","",","&amp;SUBSTITUTE(SUBSTITUTE(SUBSTITUTE(SUBSTITUTE(SUBSTITUTE(SUBSTITUTE(TRIM(C176)," y ",","),"y",",")," ",","),".",","),"/",","),"-",",")&amp;",")</f>
        <v/>
      </c>
    </row>
    <row r="177" customFormat="false" ht="15" hidden="false" customHeight="false" outlineLevel="0" collapsed="false">
      <c r="A177" s="5"/>
      <c r="B177" s="5"/>
      <c r="C177" s="6"/>
      <c r="D177" s="7"/>
      <c r="E177" s="5"/>
      <c r="F177" s="8"/>
      <c r="G177" s="9" t="str">
        <f aca="false">IF(C177="","",","&amp;SUBSTITUTE(SUBSTITUTE(SUBSTITUTE(SUBSTITUTE(SUBSTITUTE(SUBSTITUTE(TRIM(C177)," y ",","),"y",",")," ",","),".",","),"/",","),"-",",")&amp;",")</f>
        <v/>
      </c>
    </row>
    <row r="178" customFormat="false" ht="15" hidden="false" customHeight="false" outlineLevel="0" collapsed="false">
      <c r="A178" s="5"/>
      <c r="B178" s="5"/>
      <c r="C178" s="6"/>
      <c r="D178" s="7"/>
      <c r="E178" s="5"/>
      <c r="F178" s="8"/>
      <c r="G178" s="9" t="str">
        <f aca="false">IF(C178="","",","&amp;SUBSTITUTE(SUBSTITUTE(SUBSTITUTE(SUBSTITUTE(SUBSTITUTE(SUBSTITUTE(TRIM(C178)," y ",","),"y",",")," ",","),".",","),"/",","),"-",",")&amp;",")</f>
        <v/>
      </c>
    </row>
    <row r="179" customFormat="false" ht="15" hidden="false" customHeight="false" outlineLevel="0" collapsed="false">
      <c r="A179" s="5"/>
      <c r="B179" s="5"/>
      <c r="C179" s="6"/>
      <c r="D179" s="7"/>
      <c r="E179" s="5"/>
      <c r="F179" s="8"/>
      <c r="G179" s="9" t="str">
        <f aca="false">IF(C179="","",","&amp;SUBSTITUTE(SUBSTITUTE(SUBSTITUTE(SUBSTITUTE(SUBSTITUTE(SUBSTITUTE(TRIM(C179)," y ",","),"y",",")," ",","),".",","),"/",","),"-",",")&amp;",")</f>
        <v/>
      </c>
    </row>
    <row r="180" customFormat="false" ht="15" hidden="false" customHeight="false" outlineLevel="0" collapsed="false">
      <c r="A180" s="5"/>
      <c r="B180" s="5"/>
      <c r="C180" s="6"/>
      <c r="D180" s="7"/>
      <c r="E180" s="5"/>
      <c r="F180" s="8"/>
      <c r="G180" s="9" t="str">
        <f aca="false">IF(C180="","",","&amp;SUBSTITUTE(SUBSTITUTE(SUBSTITUTE(SUBSTITUTE(SUBSTITUTE(SUBSTITUTE(TRIM(C180)," y ",","),"y",",")," ",","),".",","),"/",","),"-",",")&amp;",")</f>
        <v/>
      </c>
    </row>
    <row r="181" customFormat="false" ht="15" hidden="false" customHeight="false" outlineLevel="0" collapsed="false">
      <c r="A181" s="5"/>
      <c r="B181" s="5"/>
      <c r="C181" s="6"/>
      <c r="D181" s="7"/>
      <c r="E181" s="5"/>
      <c r="F181" s="8"/>
      <c r="G181" s="9" t="str">
        <f aca="false">IF(C181="","",","&amp;SUBSTITUTE(SUBSTITUTE(SUBSTITUTE(SUBSTITUTE(SUBSTITUTE(SUBSTITUTE(TRIM(C181)," y ",","),"y",",")," ",","),".",","),"/",","),"-",",")&amp;",")</f>
        <v/>
      </c>
    </row>
    <row r="182" customFormat="false" ht="15" hidden="false" customHeight="false" outlineLevel="0" collapsed="false">
      <c r="A182" s="5"/>
      <c r="B182" s="5"/>
      <c r="C182" s="6"/>
      <c r="D182" s="7"/>
      <c r="E182" s="5"/>
      <c r="F182" s="8"/>
      <c r="G182" s="9" t="str">
        <f aca="false">IF(C182="","",","&amp;SUBSTITUTE(SUBSTITUTE(SUBSTITUTE(SUBSTITUTE(SUBSTITUTE(SUBSTITUTE(TRIM(C182)," y ",","),"y",",")," ",","),".",","),"/",","),"-",",")&amp;",")</f>
        <v/>
      </c>
    </row>
    <row r="183" customFormat="false" ht="15" hidden="false" customHeight="false" outlineLevel="0" collapsed="false">
      <c r="A183" s="5"/>
      <c r="B183" s="5"/>
      <c r="C183" s="6"/>
      <c r="D183" s="7"/>
      <c r="E183" s="5"/>
      <c r="F183" s="8"/>
      <c r="G183" s="9" t="str">
        <f aca="false">IF(C183="","",","&amp;SUBSTITUTE(SUBSTITUTE(SUBSTITUTE(SUBSTITUTE(SUBSTITUTE(SUBSTITUTE(TRIM(C183)," y ",","),"y",",")," ",","),".",","),"/",","),"-",",")&amp;",")</f>
        <v/>
      </c>
    </row>
    <row r="184" customFormat="false" ht="15" hidden="false" customHeight="false" outlineLevel="0" collapsed="false">
      <c r="A184" s="5"/>
      <c r="B184" s="5"/>
      <c r="C184" s="6"/>
      <c r="D184" s="7"/>
      <c r="E184" s="5"/>
      <c r="F184" s="8"/>
      <c r="G184" s="9" t="str">
        <f aca="false">IF(C184="","",","&amp;SUBSTITUTE(SUBSTITUTE(SUBSTITUTE(SUBSTITUTE(SUBSTITUTE(SUBSTITUTE(TRIM(C184)," y ",","),"y",",")," ",","),".",","),"/",","),"-",",")&amp;",")</f>
        <v/>
      </c>
    </row>
    <row r="185" customFormat="false" ht="15" hidden="false" customHeight="false" outlineLevel="0" collapsed="false">
      <c r="A185" s="5"/>
      <c r="B185" s="5"/>
      <c r="C185" s="6"/>
      <c r="D185" s="7"/>
      <c r="E185" s="5"/>
      <c r="F185" s="8"/>
      <c r="G185" s="9" t="str">
        <f aca="false">IF(C185="","",","&amp;SUBSTITUTE(SUBSTITUTE(SUBSTITUTE(SUBSTITUTE(SUBSTITUTE(SUBSTITUTE(TRIM(C185)," y ",","),"y",",")," ",","),".",","),"/",","),"-",",")&amp;",")</f>
        <v/>
      </c>
    </row>
    <row r="186" customFormat="false" ht="15" hidden="false" customHeight="false" outlineLevel="0" collapsed="false">
      <c r="A186" s="5"/>
      <c r="B186" s="5"/>
      <c r="C186" s="6"/>
      <c r="D186" s="7"/>
      <c r="E186" s="5"/>
      <c r="F186" s="8"/>
      <c r="G186" s="9" t="str">
        <f aca="false">IF(C186="","",","&amp;SUBSTITUTE(SUBSTITUTE(SUBSTITUTE(SUBSTITUTE(SUBSTITUTE(SUBSTITUTE(TRIM(C186)," y ",","),"y",",")," ",","),".",","),"/",","),"-",",")&amp;",")</f>
        <v/>
      </c>
    </row>
    <row r="187" customFormat="false" ht="15" hidden="false" customHeight="false" outlineLevel="0" collapsed="false">
      <c r="A187" s="5"/>
      <c r="B187" s="5"/>
      <c r="C187" s="6"/>
      <c r="D187" s="7"/>
      <c r="E187" s="5"/>
      <c r="F187" s="8"/>
      <c r="G187" s="9" t="str">
        <f aca="false">IF(C187="","",","&amp;SUBSTITUTE(SUBSTITUTE(SUBSTITUTE(SUBSTITUTE(SUBSTITUTE(SUBSTITUTE(TRIM(C187)," y ",","),"y",",")," ",","),".",","),"/",","),"-",",")&amp;",")</f>
        <v/>
      </c>
    </row>
    <row r="188" customFormat="false" ht="15" hidden="false" customHeight="false" outlineLevel="0" collapsed="false">
      <c r="A188" s="5"/>
      <c r="B188" s="5"/>
      <c r="C188" s="6"/>
      <c r="D188" s="7"/>
      <c r="E188" s="5"/>
      <c r="F188" s="8"/>
      <c r="G188" s="9" t="str">
        <f aca="false">IF(C188="","",","&amp;SUBSTITUTE(SUBSTITUTE(SUBSTITUTE(SUBSTITUTE(SUBSTITUTE(SUBSTITUTE(TRIM(C188)," y ",","),"y",",")," ",","),".",","),"/",","),"-",",")&amp;",")</f>
        <v/>
      </c>
    </row>
    <row r="189" customFormat="false" ht="15" hidden="false" customHeight="false" outlineLevel="0" collapsed="false">
      <c r="A189" s="5"/>
      <c r="B189" s="5"/>
      <c r="C189" s="6"/>
      <c r="D189" s="7"/>
      <c r="E189" s="5"/>
      <c r="F189" s="8"/>
      <c r="G189" s="9" t="str">
        <f aca="false">IF(C189="","",","&amp;SUBSTITUTE(SUBSTITUTE(SUBSTITUTE(SUBSTITUTE(SUBSTITUTE(SUBSTITUTE(TRIM(C189)," y ",","),"y",",")," ",","),".",","),"/",","),"-",",")&amp;",")</f>
        <v/>
      </c>
    </row>
    <row r="190" customFormat="false" ht="15" hidden="false" customHeight="false" outlineLevel="0" collapsed="false">
      <c r="A190" s="5"/>
      <c r="B190" s="5"/>
      <c r="C190" s="6"/>
      <c r="D190" s="7"/>
      <c r="E190" s="5"/>
      <c r="F190" s="8"/>
      <c r="G190" s="9" t="str">
        <f aca="false">IF(C190="","",","&amp;SUBSTITUTE(SUBSTITUTE(SUBSTITUTE(SUBSTITUTE(SUBSTITUTE(SUBSTITUTE(TRIM(C190)," y ",","),"y",",")," ",","),".",","),"/",","),"-",",")&amp;",")</f>
        <v/>
      </c>
    </row>
    <row r="191" customFormat="false" ht="15" hidden="false" customHeight="false" outlineLevel="0" collapsed="false">
      <c r="A191" s="5"/>
      <c r="B191" s="5"/>
      <c r="C191" s="6"/>
      <c r="D191" s="7"/>
      <c r="E191" s="5"/>
      <c r="F191" s="8"/>
      <c r="G191" s="9" t="str">
        <f aca="false">IF(C191="","",","&amp;SUBSTITUTE(SUBSTITUTE(SUBSTITUTE(SUBSTITUTE(SUBSTITUTE(SUBSTITUTE(TRIM(C191)," y ",","),"y",",")," ",","),".",","),"/",","),"-",",")&amp;",")</f>
        <v/>
      </c>
    </row>
    <row r="192" customFormat="false" ht="15" hidden="false" customHeight="false" outlineLevel="0" collapsed="false">
      <c r="A192" s="5"/>
      <c r="B192" s="5"/>
      <c r="C192" s="6"/>
      <c r="D192" s="7"/>
      <c r="E192" s="5"/>
      <c r="F192" s="8"/>
      <c r="G192" s="9" t="str">
        <f aca="false">IF(C192="","",","&amp;SUBSTITUTE(SUBSTITUTE(SUBSTITUTE(SUBSTITUTE(SUBSTITUTE(SUBSTITUTE(TRIM(C192)," y ",","),"y",",")," ",","),".",","),"/",","),"-",",")&amp;",")</f>
        <v/>
      </c>
    </row>
    <row r="193" customFormat="false" ht="15" hidden="false" customHeight="false" outlineLevel="0" collapsed="false">
      <c r="A193" s="5"/>
      <c r="B193" s="5"/>
      <c r="C193" s="6"/>
      <c r="D193" s="7"/>
      <c r="E193" s="5"/>
      <c r="F193" s="8"/>
      <c r="G193" s="9" t="str">
        <f aca="false">IF(C193="","",","&amp;SUBSTITUTE(SUBSTITUTE(SUBSTITUTE(SUBSTITUTE(SUBSTITUTE(SUBSTITUTE(TRIM(C193)," y ",","),"y",",")," ",","),".",","),"/",","),"-",",")&amp;",")</f>
        <v/>
      </c>
    </row>
    <row r="194" customFormat="false" ht="15" hidden="false" customHeight="false" outlineLevel="0" collapsed="false">
      <c r="A194" s="5"/>
      <c r="B194" s="5"/>
      <c r="C194" s="6"/>
      <c r="D194" s="7"/>
      <c r="E194" s="5"/>
      <c r="F194" s="8"/>
      <c r="G194" s="9" t="str">
        <f aca="false">IF(C194="","",","&amp;SUBSTITUTE(SUBSTITUTE(SUBSTITUTE(SUBSTITUTE(SUBSTITUTE(SUBSTITUTE(TRIM(C194)," y ",","),"y",",")," ",","),".",","),"/",","),"-",",")&amp;",")</f>
        <v/>
      </c>
    </row>
    <row r="195" customFormat="false" ht="15" hidden="false" customHeight="false" outlineLevel="0" collapsed="false">
      <c r="A195" s="5"/>
      <c r="B195" s="5"/>
      <c r="C195" s="6"/>
      <c r="D195" s="7"/>
      <c r="E195" s="5"/>
      <c r="F195" s="8"/>
      <c r="G195" s="9" t="str">
        <f aca="false">IF(C195="","",","&amp;SUBSTITUTE(SUBSTITUTE(SUBSTITUTE(SUBSTITUTE(SUBSTITUTE(SUBSTITUTE(TRIM(C195)," y ",","),"y",",")," ",","),".",","),"/",","),"-",",")&amp;",")</f>
        <v/>
      </c>
    </row>
    <row r="196" customFormat="false" ht="15" hidden="false" customHeight="false" outlineLevel="0" collapsed="false">
      <c r="A196" s="5"/>
      <c r="B196" s="5"/>
      <c r="C196" s="6"/>
      <c r="D196" s="7"/>
      <c r="E196" s="5"/>
      <c r="F196" s="8"/>
      <c r="G196" s="9" t="str">
        <f aca="false">IF(C196="","",","&amp;SUBSTITUTE(SUBSTITUTE(SUBSTITUTE(SUBSTITUTE(SUBSTITUTE(SUBSTITUTE(TRIM(C196)," y ",","),"y",",")," ",","),".",","),"/",","),"-",",")&amp;",")</f>
        <v/>
      </c>
    </row>
    <row r="197" customFormat="false" ht="15" hidden="false" customHeight="false" outlineLevel="0" collapsed="false">
      <c r="A197" s="5"/>
      <c r="B197" s="5"/>
      <c r="C197" s="6"/>
      <c r="D197" s="7"/>
      <c r="E197" s="5"/>
      <c r="F197" s="8"/>
      <c r="G197" s="9" t="str">
        <f aca="false">IF(C197="","",","&amp;SUBSTITUTE(SUBSTITUTE(SUBSTITUTE(SUBSTITUTE(SUBSTITUTE(SUBSTITUTE(TRIM(C197)," y ",","),"y",",")," ",","),".",","),"/",","),"-",",")&amp;",")</f>
        <v/>
      </c>
    </row>
    <row r="198" customFormat="false" ht="15" hidden="false" customHeight="false" outlineLevel="0" collapsed="false">
      <c r="A198" s="5"/>
      <c r="B198" s="5"/>
      <c r="C198" s="6"/>
      <c r="D198" s="7"/>
      <c r="E198" s="5"/>
      <c r="F198" s="8"/>
      <c r="G198" s="9" t="str">
        <f aca="false">IF(C198="","",","&amp;SUBSTITUTE(SUBSTITUTE(SUBSTITUTE(SUBSTITUTE(SUBSTITUTE(SUBSTITUTE(TRIM(C198)," y ",","),"y",",")," ",","),".",","),"/",","),"-",",")&amp;",")</f>
        <v/>
      </c>
    </row>
    <row r="199" customFormat="false" ht="15" hidden="false" customHeight="false" outlineLevel="0" collapsed="false">
      <c r="A199" s="5"/>
      <c r="B199" s="5"/>
      <c r="C199" s="6"/>
      <c r="D199" s="7"/>
      <c r="E199" s="5"/>
      <c r="F199" s="8"/>
      <c r="G199" s="9" t="str">
        <f aca="false">IF(C199="","",","&amp;SUBSTITUTE(SUBSTITUTE(SUBSTITUTE(SUBSTITUTE(SUBSTITUTE(SUBSTITUTE(TRIM(C199)," y ",","),"y",",")," ",","),".",","),"/",","),"-",",")&amp;",")</f>
        <v/>
      </c>
    </row>
    <row r="200" customFormat="false" ht="15" hidden="false" customHeight="false" outlineLevel="0" collapsed="false">
      <c r="A200" s="5"/>
      <c r="B200" s="5"/>
      <c r="C200" s="6"/>
      <c r="D200" s="7"/>
      <c r="E200" s="5"/>
      <c r="F200" s="8"/>
      <c r="G200" s="9" t="str">
        <f aca="false">IF(C200="","",","&amp;SUBSTITUTE(SUBSTITUTE(SUBSTITUTE(SUBSTITUTE(SUBSTITUTE(SUBSTITUTE(TRIM(C200)," y ",","),"y",",")," ",","),".",","),"/",","),"-",",")&amp;",")</f>
        <v/>
      </c>
    </row>
    <row r="201" customFormat="false" ht="15" hidden="false" customHeight="false" outlineLevel="0" collapsed="false">
      <c r="A201" s="5"/>
      <c r="B201" s="5"/>
      <c r="C201" s="6"/>
      <c r="D201" s="7"/>
      <c r="E201" s="5"/>
      <c r="F201" s="8"/>
      <c r="G201" s="9" t="str">
        <f aca="false">IF(C201="","",","&amp;SUBSTITUTE(SUBSTITUTE(SUBSTITUTE(SUBSTITUTE(SUBSTITUTE(SUBSTITUTE(TRIM(C201)," y ",","),"y",",")," ",","),".",","),"/",","),"-",",")&amp;",")</f>
        <v/>
      </c>
    </row>
    <row r="202" customFormat="false" ht="15" hidden="false" customHeight="false" outlineLevel="0" collapsed="false">
      <c r="A202" s="5"/>
      <c r="B202" s="5"/>
      <c r="C202" s="6"/>
      <c r="D202" s="7"/>
      <c r="E202" s="5"/>
      <c r="F202" s="8"/>
      <c r="G202" s="9" t="str">
        <f aca="false">IF(C202="","",","&amp;SUBSTITUTE(SUBSTITUTE(SUBSTITUTE(SUBSTITUTE(SUBSTITUTE(SUBSTITUTE(TRIM(C202)," y ",","),"y",",")," ",","),".",","),"/",","),"-",",")&amp;",")</f>
        <v/>
      </c>
    </row>
    <row r="203" customFormat="false" ht="15" hidden="false" customHeight="false" outlineLevel="0" collapsed="false">
      <c r="A203" s="5"/>
      <c r="B203" s="5"/>
      <c r="C203" s="6"/>
      <c r="D203" s="7"/>
      <c r="E203" s="5"/>
      <c r="F203" s="8"/>
      <c r="G203" s="9" t="str">
        <f aca="false">IF(C203="","",","&amp;SUBSTITUTE(SUBSTITUTE(SUBSTITUTE(SUBSTITUTE(SUBSTITUTE(SUBSTITUTE(TRIM(C203)," y ",","),"y",",")," ",","),".",","),"/",","),"-",",")&amp;",")</f>
        <v/>
      </c>
    </row>
    <row r="204" customFormat="false" ht="15" hidden="false" customHeight="false" outlineLevel="0" collapsed="false">
      <c r="A204" s="5"/>
      <c r="B204" s="5"/>
      <c r="C204" s="6"/>
      <c r="D204" s="7"/>
      <c r="E204" s="5"/>
      <c r="F204" s="8"/>
      <c r="G204" s="9" t="str">
        <f aca="false">IF(C204="","",","&amp;SUBSTITUTE(SUBSTITUTE(SUBSTITUTE(SUBSTITUTE(SUBSTITUTE(SUBSTITUTE(TRIM(C204)," y ",","),"y",",")," ",","),".",","),"/",","),"-",",")&amp;",")</f>
        <v/>
      </c>
    </row>
    <row r="205" customFormat="false" ht="15" hidden="false" customHeight="false" outlineLevel="0" collapsed="false">
      <c r="A205" s="5"/>
      <c r="B205" s="5"/>
      <c r="C205" s="6"/>
      <c r="D205" s="7"/>
      <c r="E205" s="5"/>
      <c r="F205" s="8"/>
      <c r="G205" s="9" t="str">
        <f aca="false">IF(C205="","",","&amp;SUBSTITUTE(SUBSTITUTE(SUBSTITUTE(SUBSTITUTE(SUBSTITUTE(SUBSTITUTE(TRIM(C205)," y ",","),"y",",")," ",","),".",","),"/",","),"-",",")&amp;",")</f>
        <v/>
      </c>
    </row>
    <row r="206" customFormat="false" ht="15" hidden="false" customHeight="false" outlineLevel="0" collapsed="false">
      <c r="A206" s="5"/>
      <c r="B206" s="5"/>
      <c r="C206" s="6"/>
      <c r="D206" s="7"/>
      <c r="E206" s="5"/>
      <c r="F206" s="8"/>
      <c r="G206" s="9" t="str">
        <f aca="false">IF(C206="","",","&amp;SUBSTITUTE(SUBSTITUTE(SUBSTITUTE(SUBSTITUTE(SUBSTITUTE(SUBSTITUTE(TRIM(C206)," y ",","),"y",",")," ",","),".",","),"/",","),"-",",")&amp;",")</f>
        <v/>
      </c>
    </row>
    <row r="207" customFormat="false" ht="15" hidden="false" customHeight="false" outlineLevel="0" collapsed="false">
      <c r="A207" s="5"/>
      <c r="B207" s="5"/>
      <c r="C207" s="6"/>
      <c r="D207" s="7"/>
      <c r="E207" s="5"/>
      <c r="F207" s="8"/>
      <c r="G207" s="9" t="str">
        <f aca="false">IF(C207="","",","&amp;SUBSTITUTE(SUBSTITUTE(SUBSTITUTE(SUBSTITUTE(SUBSTITUTE(SUBSTITUTE(TRIM(C207)," y ",","),"y",",")," ",","),".",","),"/",","),"-",",")&amp;",")</f>
        <v/>
      </c>
    </row>
    <row r="208" customFormat="false" ht="15" hidden="false" customHeight="false" outlineLevel="0" collapsed="false">
      <c r="A208" s="5"/>
      <c r="B208" s="5"/>
      <c r="C208" s="6"/>
      <c r="D208" s="7"/>
      <c r="E208" s="5"/>
      <c r="F208" s="8"/>
      <c r="G208" s="9" t="str">
        <f aca="false">IF(C208="","",","&amp;SUBSTITUTE(SUBSTITUTE(SUBSTITUTE(SUBSTITUTE(SUBSTITUTE(SUBSTITUTE(TRIM(C208)," y ",","),"y",",")," ",","),".",","),"/",","),"-",",")&amp;",")</f>
        <v/>
      </c>
    </row>
    <row r="209" customFormat="false" ht="15" hidden="false" customHeight="false" outlineLevel="0" collapsed="false">
      <c r="A209" s="5"/>
      <c r="B209" s="5"/>
      <c r="C209" s="6"/>
      <c r="D209" s="7"/>
      <c r="E209" s="5"/>
      <c r="F209" s="8"/>
      <c r="G209" s="9" t="str">
        <f aca="false">IF(C209="","",","&amp;SUBSTITUTE(SUBSTITUTE(SUBSTITUTE(SUBSTITUTE(SUBSTITUTE(SUBSTITUTE(TRIM(C209)," y ",","),"y",",")," ",","),".",","),"/",","),"-",",")&amp;",")</f>
        <v/>
      </c>
    </row>
    <row r="210" customFormat="false" ht="15" hidden="false" customHeight="false" outlineLevel="0" collapsed="false">
      <c r="A210" s="5"/>
      <c r="B210" s="5"/>
      <c r="C210" s="6"/>
      <c r="D210" s="7"/>
      <c r="E210" s="5"/>
      <c r="F210" s="8"/>
      <c r="G210" s="9" t="str">
        <f aca="false">IF(C210="","",","&amp;SUBSTITUTE(SUBSTITUTE(SUBSTITUTE(SUBSTITUTE(SUBSTITUTE(SUBSTITUTE(TRIM(C210)," y ",","),"y",",")," ",","),".",","),"/",","),"-",",")&amp;",")</f>
        <v/>
      </c>
    </row>
    <row r="211" customFormat="false" ht="15" hidden="false" customHeight="false" outlineLevel="0" collapsed="false">
      <c r="A211" s="5"/>
      <c r="B211" s="5"/>
      <c r="C211" s="6"/>
      <c r="D211" s="7"/>
      <c r="E211" s="5"/>
      <c r="F211" s="8"/>
      <c r="G211" s="9" t="str">
        <f aca="false">IF(C211="","",","&amp;SUBSTITUTE(SUBSTITUTE(SUBSTITUTE(SUBSTITUTE(SUBSTITUTE(SUBSTITUTE(TRIM(C211)," y ",","),"y",",")," ",","),".",","),"/",","),"-",",")&amp;",")</f>
        <v/>
      </c>
    </row>
    <row r="212" customFormat="false" ht="15" hidden="false" customHeight="false" outlineLevel="0" collapsed="false">
      <c r="A212" s="5"/>
      <c r="B212" s="5"/>
      <c r="C212" s="6"/>
      <c r="D212" s="7"/>
      <c r="E212" s="5"/>
      <c r="F212" s="8"/>
      <c r="G212" s="9" t="str">
        <f aca="false">IF(C212="","",","&amp;SUBSTITUTE(SUBSTITUTE(SUBSTITUTE(SUBSTITUTE(SUBSTITUTE(SUBSTITUTE(TRIM(C212)," y ",","),"y",",")," ",","),".",","),"/",","),"-",",")&amp;",")</f>
        <v/>
      </c>
    </row>
    <row r="213" customFormat="false" ht="15" hidden="false" customHeight="false" outlineLevel="0" collapsed="false">
      <c r="A213" s="5"/>
      <c r="B213" s="5"/>
      <c r="C213" s="6"/>
      <c r="D213" s="7"/>
      <c r="E213" s="5"/>
      <c r="F213" s="8"/>
      <c r="G213" s="9" t="str">
        <f aca="false">IF(C213="","",","&amp;SUBSTITUTE(SUBSTITUTE(SUBSTITUTE(SUBSTITUTE(SUBSTITUTE(SUBSTITUTE(TRIM(C213)," y ",","),"y",",")," ",","),".",","),"/",","),"-",",")&amp;",")</f>
        <v/>
      </c>
    </row>
    <row r="214" customFormat="false" ht="15" hidden="false" customHeight="false" outlineLevel="0" collapsed="false">
      <c r="A214" s="5"/>
      <c r="B214" s="5"/>
      <c r="C214" s="6"/>
      <c r="D214" s="7"/>
      <c r="E214" s="5"/>
      <c r="F214" s="8"/>
      <c r="G214" s="9" t="str">
        <f aca="false">IF(C214="","",","&amp;SUBSTITUTE(SUBSTITUTE(SUBSTITUTE(SUBSTITUTE(SUBSTITUTE(SUBSTITUTE(TRIM(C214)," y ",","),"y",",")," ",","),".",","),"/",","),"-",",")&amp;",")</f>
        <v/>
      </c>
    </row>
    <row r="215" customFormat="false" ht="15" hidden="false" customHeight="false" outlineLevel="0" collapsed="false">
      <c r="A215" s="5"/>
      <c r="B215" s="5"/>
      <c r="C215" s="6"/>
      <c r="D215" s="7"/>
      <c r="E215" s="5"/>
      <c r="F215" s="8"/>
      <c r="G215" s="9" t="str">
        <f aca="false">IF(C215="","",","&amp;SUBSTITUTE(SUBSTITUTE(SUBSTITUTE(SUBSTITUTE(SUBSTITUTE(SUBSTITUTE(TRIM(C215)," y ",","),"y",",")," ",","),".",","),"/",","),"-",",")&amp;",")</f>
        <v/>
      </c>
    </row>
    <row r="216" customFormat="false" ht="15" hidden="false" customHeight="false" outlineLevel="0" collapsed="false">
      <c r="A216" s="5"/>
      <c r="B216" s="5"/>
      <c r="C216" s="6"/>
      <c r="D216" s="7"/>
      <c r="E216" s="5"/>
      <c r="F216" s="8"/>
      <c r="G216" s="9" t="str">
        <f aca="false">IF(C216="","",","&amp;SUBSTITUTE(SUBSTITUTE(SUBSTITUTE(SUBSTITUTE(SUBSTITUTE(SUBSTITUTE(TRIM(C216)," y ",","),"y",",")," ",","),".",","),"/",","),"-",",")&amp;",")</f>
        <v/>
      </c>
    </row>
    <row r="217" customFormat="false" ht="15" hidden="false" customHeight="false" outlineLevel="0" collapsed="false">
      <c r="A217" s="5"/>
      <c r="B217" s="5"/>
      <c r="C217" s="6"/>
      <c r="D217" s="7"/>
      <c r="E217" s="5"/>
      <c r="F217" s="8"/>
      <c r="G217" s="9" t="str">
        <f aca="false">IF(C217="","",","&amp;SUBSTITUTE(SUBSTITUTE(SUBSTITUTE(SUBSTITUTE(SUBSTITUTE(SUBSTITUTE(TRIM(C217)," y ",","),"y",",")," ",","),".",","),"/",","),"-",",")&amp;",")</f>
        <v/>
      </c>
    </row>
    <row r="218" customFormat="false" ht="15" hidden="false" customHeight="false" outlineLevel="0" collapsed="false">
      <c r="A218" s="5"/>
      <c r="B218" s="5"/>
      <c r="C218" s="6"/>
      <c r="D218" s="7"/>
      <c r="E218" s="5"/>
      <c r="F218" s="8"/>
      <c r="G218" s="9" t="str">
        <f aca="false">IF(C218="","",","&amp;SUBSTITUTE(SUBSTITUTE(SUBSTITUTE(SUBSTITUTE(SUBSTITUTE(SUBSTITUTE(TRIM(C218)," y ",","),"y",",")," ",","),".",","),"/",","),"-",",")&amp;",")</f>
        <v/>
      </c>
    </row>
    <row r="219" customFormat="false" ht="15" hidden="false" customHeight="false" outlineLevel="0" collapsed="false">
      <c r="A219" s="5"/>
      <c r="B219" s="5"/>
      <c r="C219" s="6"/>
      <c r="D219" s="7"/>
      <c r="E219" s="5"/>
      <c r="F219" s="8"/>
      <c r="G219" s="9" t="str">
        <f aca="false">IF(C219="","",","&amp;SUBSTITUTE(SUBSTITUTE(SUBSTITUTE(SUBSTITUTE(SUBSTITUTE(SUBSTITUTE(TRIM(C219)," y ",","),"y",",")," ",","),".",","),"/",","),"-",",")&amp;",")</f>
        <v/>
      </c>
    </row>
    <row r="220" customFormat="false" ht="15" hidden="false" customHeight="false" outlineLevel="0" collapsed="false">
      <c r="A220" s="5"/>
      <c r="B220" s="5"/>
      <c r="C220" s="6"/>
      <c r="D220" s="7"/>
      <c r="E220" s="5"/>
      <c r="F220" s="8"/>
      <c r="G220" s="9" t="str">
        <f aca="false">IF(C220="","",","&amp;SUBSTITUTE(SUBSTITUTE(SUBSTITUTE(SUBSTITUTE(SUBSTITUTE(SUBSTITUTE(TRIM(C220)," y ",","),"y",",")," ",","),".",","),"/",","),"-",",")&amp;",")</f>
        <v/>
      </c>
    </row>
    <row r="221" customFormat="false" ht="15" hidden="false" customHeight="false" outlineLevel="0" collapsed="false">
      <c r="A221" s="5"/>
      <c r="B221" s="5"/>
      <c r="C221" s="6"/>
      <c r="D221" s="7"/>
      <c r="E221" s="5"/>
      <c r="F221" s="8"/>
      <c r="G221" s="9" t="str">
        <f aca="false">IF(C221="","",","&amp;SUBSTITUTE(SUBSTITUTE(SUBSTITUTE(SUBSTITUTE(SUBSTITUTE(SUBSTITUTE(TRIM(C221)," y ",","),"y",",")," ",","),".",","),"/",","),"-",",")&amp;",")</f>
        <v/>
      </c>
    </row>
    <row r="222" customFormat="false" ht="15" hidden="false" customHeight="false" outlineLevel="0" collapsed="false">
      <c r="A222" s="5"/>
      <c r="B222" s="5"/>
      <c r="C222" s="6"/>
      <c r="D222" s="7"/>
      <c r="E222" s="5"/>
      <c r="F222" s="8"/>
      <c r="G222" s="9" t="str">
        <f aca="false">IF(C222="","",","&amp;SUBSTITUTE(SUBSTITUTE(SUBSTITUTE(SUBSTITUTE(SUBSTITUTE(SUBSTITUTE(TRIM(C222)," y ",","),"y",",")," ",","),".",","),"/",","),"-",",")&amp;",")</f>
        <v/>
      </c>
    </row>
    <row r="223" customFormat="false" ht="15" hidden="false" customHeight="false" outlineLevel="0" collapsed="false">
      <c r="A223" s="5"/>
      <c r="B223" s="5"/>
      <c r="C223" s="6"/>
      <c r="D223" s="7"/>
      <c r="E223" s="5"/>
      <c r="F223" s="8"/>
      <c r="G223" s="9" t="str">
        <f aca="false">IF(C223="","",","&amp;SUBSTITUTE(SUBSTITUTE(SUBSTITUTE(SUBSTITUTE(SUBSTITUTE(SUBSTITUTE(TRIM(C223)," y ",","),"y",",")," ",","),".",","),"/",","),"-",",")&amp;",")</f>
        <v/>
      </c>
    </row>
    <row r="224" customFormat="false" ht="15" hidden="false" customHeight="false" outlineLevel="0" collapsed="false">
      <c r="A224" s="5"/>
      <c r="B224" s="5"/>
      <c r="C224" s="6"/>
      <c r="D224" s="7"/>
      <c r="E224" s="5"/>
      <c r="F224" s="8"/>
      <c r="G224" s="9" t="str">
        <f aca="false">IF(C224="","",","&amp;SUBSTITUTE(SUBSTITUTE(SUBSTITUTE(SUBSTITUTE(SUBSTITUTE(SUBSTITUTE(TRIM(C224)," y ",","),"y",",")," ",","),".",","),"/",","),"-",",")&amp;",")</f>
        <v/>
      </c>
    </row>
    <row r="225" customFormat="false" ht="15" hidden="false" customHeight="false" outlineLevel="0" collapsed="false">
      <c r="A225" s="5"/>
      <c r="B225" s="5"/>
      <c r="C225" s="6"/>
      <c r="D225" s="7"/>
      <c r="E225" s="5"/>
      <c r="F225" s="8"/>
      <c r="G225" s="9" t="str">
        <f aca="false">IF(C225="","",","&amp;SUBSTITUTE(SUBSTITUTE(SUBSTITUTE(SUBSTITUTE(SUBSTITUTE(SUBSTITUTE(TRIM(C225)," y ",","),"y",",")," ",","),".",","),"/",","),"-",",")&amp;",")</f>
        <v/>
      </c>
    </row>
    <row r="226" customFormat="false" ht="15" hidden="false" customHeight="false" outlineLevel="0" collapsed="false">
      <c r="A226" s="5"/>
      <c r="B226" s="5"/>
      <c r="C226" s="6"/>
      <c r="D226" s="7"/>
      <c r="E226" s="5"/>
      <c r="F226" s="8"/>
      <c r="G226" s="9" t="str">
        <f aca="false">IF(C226="","",","&amp;SUBSTITUTE(SUBSTITUTE(SUBSTITUTE(SUBSTITUTE(SUBSTITUTE(SUBSTITUTE(TRIM(C226)," y ",","),"y",",")," ",","),".",","),"/",","),"-",",")&amp;",")</f>
        <v/>
      </c>
    </row>
    <row r="227" customFormat="false" ht="15" hidden="false" customHeight="false" outlineLevel="0" collapsed="false">
      <c r="A227" s="5"/>
      <c r="B227" s="5"/>
      <c r="C227" s="6"/>
      <c r="D227" s="7"/>
      <c r="E227" s="5"/>
      <c r="F227" s="8"/>
      <c r="G227" s="9" t="str">
        <f aca="false">IF(C227="","",","&amp;SUBSTITUTE(SUBSTITUTE(SUBSTITUTE(SUBSTITUTE(SUBSTITUTE(SUBSTITUTE(TRIM(C227)," y ",","),"y",",")," ",","),".",","),"/",","),"-",",")&amp;",")</f>
        <v/>
      </c>
    </row>
    <row r="228" customFormat="false" ht="15" hidden="false" customHeight="false" outlineLevel="0" collapsed="false">
      <c r="A228" s="5"/>
      <c r="B228" s="5"/>
      <c r="C228" s="6"/>
      <c r="D228" s="7"/>
      <c r="E228" s="5"/>
      <c r="F228" s="8"/>
      <c r="G228" s="9" t="str">
        <f aca="false">IF(C228="","",","&amp;SUBSTITUTE(SUBSTITUTE(SUBSTITUTE(SUBSTITUTE(SUBSTITUTE(SUBSTITUTE(TRIM(C228)," y ",","),"y",",")," ",","),".",","),"/",","),"-",",")&amp;",")</f>
        <v/>
      </c>
    </row>
    <row r="229" customFormat="false" ht="15" hidden="false" customHeight="false" outlineLevel="0" collapsed="false">
      <c r="A229" s="5"/>
      <c r="B229" s="5"/>
      <c r="C229" s="6"/>
      <c r="D229" s="7"/>
      <c r="E229" s="5"/>
      <c r="F229" s="8"/>
      <c r="G229" s="9" t="str">
        <f aca="false">IF(C229="","",","&amp;SUBSTITUTE(SUBSTITUTE(SUBSTITUTE(SUBSTITUTE(SUBSTITUTE(SUBSTITUTE(TRIM(C229)," y ",","),"y",",")," ",","),".",","),"/",","),"-",",")&amp;",")</f>
        <v/>
      </c>
    </row>
    <row r="230" customFormat="false" ht="15" hidden="false" customHeight="false" outlineLevel="0" collapsed="false">
      <c r="A230" s="5"/>
      <c r="B230" s="5"/>
      <c r="C230" s="6"/>
      <c r="D230" s="7"/>
      <c r="E230" s="5"/>
      <c r="F230" s="8"/>
      <c r="G230" s="9" t="str">
        <f aca="false">IF(C230="","",","&amp;SUBSTITUTE(SUBSTITUTE(SUBSTITUTE(SUBSTITUTE(SUBSTITUTE(SUBSTITUTE(TRIM(C230)," y ",","),"y",",")," ",","),".",","),"/",","),"-",",")&amp;",")</f>
        <v/>
      </c>
    </row>
    <row r="231" customFormat="false" ht="15" hidden="false" customHeight="false" outlineLevel="0" collapsed="false">
      <c r="A231" s="5"/>
      <c r="B231" s="5"/>
      <c r="C231" s="6"/>
      <c r="D231" s="7"/>
      <c r="E231" s="5"/>
      <c r="F231" s="8"/>
      <c r="G231" s="9" t="str">
        <f aca="false">IF(C231="","",","&amp;SUBSTITUTE(SUBSTITUTE(SUBSTITUTE(SUBSTITUTE(SUBSTITUTE(SUBSTITUTE(TRIM(C231)," y ",","),"y",",")," ",","),".",","),"/",","),"-",",")&amp;",")</f>
        <v/>
      </c>
    </row>
    <row r="232" customFormat="false" ht="15" hidden="false" customHeight="false" outlineLevel="0" collapsed="false">
      <c r="A232" s="5"/>
      <c r="B232" s="5"/>
      <c r="C232" s="6"/>
      <c r="D232" s="7"/>
      <c r="E232" s="5"/>
      <c r="F232" s="8"/>
      <c r="G232" s="9" t="str">
        <f aca="false">IF(C232="","",","&amp;SUBSTITUTE(SUBSTITUTE(SUBSTITUTE(SUBSTITUTE(SUBSTITUTE(SUBSTITUTE(TRIM(C232)," y ",","),"y",",")," ",","),".",","),"/",","),"-",",")&amp;",")</f>
        <v/>
      </c>
    </row>
    <row r="233" customFormat="false" ht="15" hidden="false" customHeight="false" outlineLevel="0" collapsed="false">
      <c r="A233" s="5"/>
      <c r="B233" s="5"/>
      <c r="C233" s="6"/>
      <c r="D233" s="7"/>
      <c r="E233" s="5"/>
      <c r="F233" s="8"/>
      <c r="G233" s="9" t="str">
        <f aca="false">IF(C233="","",","&amp;SUBSTITUTE(SUBSTITUTE(SUBSTITUTE(SUBSTITUTE(SUBSTITUTE(SUBSTITUTE(TRIM(C233)," y ",","),"y",",")," ",","),".",","),"/",","),"-",",")&amp;",")</f>
        <v/>
      </c>
    </row>
    <row r="234" customFormat="false" ht="15" hidden="false" customHeight="false" outlineLevel="0" collapsed="false">
      <c r="A234" s="5"/>
      <c r="B234" s="5"/>
      <c r="C234" s="6"/>
      <c r="D234" s="7"/>
      <c r="E234" s="5"/>
      <c r="F234" s="8"/>
      <c r="G234" s="9" t="str">
        <f aca="false">IF(C234="","",","&amp;SUBSTITUTE(SUBSTITUTE(SUBSTITUTE(SUBSTITUTE(SUBSTITUTE(SUBSTITUTE(TRIM(C234)," y ",","),"y",",")," ",","),".",","),"/",","),"-",",")&amp;",")</f>
        <v/>
      </c>
    </row>
    <row r="235" customFormat="false" ht="15" hidden="false" customHeight="false" outlineLevel="0" collapsed="false">
      <c r="A235" s="5"/>
      <c r="B235" s="5"/>
      <c r="C235" s="6"/>
      <c r="D235" s="7"/>
      <c r="E235" s="5"/>
      <c r="F235" s="8"/>
      <c r="G235" s="9" t="str">
        <f aca="false">IF(C235="","",","&amp;SUBSTITUTE(SUBSTITUTE(SUBSTITUTE(SUBSTITUTE(SUBSTITUTE(SUBSTITUTE(TRIM(C235)," y ",","),"y",",")," ",","),".",","),"/",","),"-",",")&amp;",")</f>
        <v/>
      </c>
    </row>
    <row r="236" customFormat="false" ht="15" hidden="false" customHeight="false" outlineLevel="0" collapsed="false">
      <c r="A236" s="5"/>
      <c r="B236" s="5"/>
      <c r="C236" s="6"/>
      <c r="D236" s="7"/>
      <c r="E236" s="5"/>
      <c r="F236" s="8"/>
      <c r="G236" s="9" t="str">
        <f aca="false">IF(C236="","",","&amp;SUBSTITUTE(SUBSTITUTE(SUBSTITUTE(SUBSTITUTE(SUBSTITUTE(SUBSTITUTE(TRIM(C236)," y ",","),"y",",")," ",","),".",","),"/",","),"-",",")&amp;",")</f>
        <v/>
      </c>
    </row>
    <row r="237" customFormat="false" ht="15" hidden="false" customHeight="false" outlineLevel="0" collapsed="false">
      <c r="A237" s="5"/>
      <c r="B237" s="5"/>
      <c r="C237" s="6"/>
      <c r="D237" s="7"/>
      <c r="E237" s="5"/>
      <c r="F237" s="8"/>
      <c r="G237" s="9" t="str">
        <f aca="false">IF(C237="","",","&amp;SUBSTITUTE(SUBSTITUTE(SUBSTITUTE(SUBSTITUTE(SUBSTITUTE(SUBSTITUTE(TRIM(C237)," y ",","),"y",",")," ",","),".",","),"/",","),"-",",")&amp;",")</f>
        <v/>
      </c>
    </row>
    <row r="238" customFormat="false" ht="15" hidden="false" customHeight="false" outlineLevel="0" collapsed="false">
      <c r="A238" s="5"/>
      <c r="B238" s="5"/>
      <c r="C238" s="6"/>
      <c r="D238" s="7"/>
      <c r="E238" s="5"/>
      <c r="F238" s="8"/>
      <c r="G238" s="9" t="str">
        <f aca="false">IF(C238="","",","&amp;SUBSTITUTE(SUBSTITUTE(SUBSTITUTE(SUBSTITUTE(SUBSTITUTE(SUBSTITUTE(TRIM(C238)," y ",","),"y",",")," ",","),".",","),"/",","),"-",",")&amp;",")</f>
        <v/>
      </c>
    </row>
    <row r="239" customFormat="false" ht="15" hidden="false" customHeight="false" outlineLevel="0" collapsed="false">
      <c r="A239" s="5"/>
      <c r="B239" s="5"/>
      <c r="C239" s="6"/>
      <c r="D239" s="7"/>
      <c r="E239" s="5"/>
      <c r="F239" s="8"/>
      <c r="G239" s="9" t="str">
        <f aca="false">IF(C239="","",","&amp;SUBSTITUTE(SUBSTITUTE(SUBSTITUTE(SUBSTITUTE(SUBSTITUTE(SUBSTITUTE(TRIM(C239)," y ",","),"y",",")," ",","),".",","),"/",","),"-",",")&amp;",")</f>
        <v/>
      </c>
    </row>
    <row r="240" customFormat="false" ht="15" hidden="false" customHeight="false" outlineLevel="0" collapsed="false">
      <c r="A240" s="5"/>
      <c r="B240" s="5"/>
      <c r="C240" s="6"/>
      <c r="D240" s="7"/>
      <c r="E240" s="5"/>
      <c r="F240" s="8"/>
      <c r="G240" s="9" t="str">
        <f aca="false">IF(C240="","",","&amp;SUBSTITUTE(SUBSTITUTE(SUBSTITUTE(SUBSTITUTE(SUBSTITUTE(SUBSTITUTE(TRIM(C240)," y ",","),"y",",")," ",","),".",","),"/",","),"-",",")&amp;",")</f>
        <v/>
      </c>
    </row>
    <row r="241" customFormat="false" ht="15" hidden="false" customHeight="false" outlineLevel="0" collapsed="false">
      <c r="A241" s="5"/>
      <c r="B241" s="5"/>
      <c r="C241" s="6"/>
      <c r="D241" s="7"/>
      <c r="E241" s="5"/>
      <c r="F241" s="8"/>
      <c r="G241" s="9" t="str">
        <f aca="false">IF(C241="","",","&amp;SUBSTITUTE(SUBSTITUTE(SUBSTITUTE(SUBSTITUTE(SUBSTITUTE(SUBSTITUTE(TRIM(C241)," y ",","),"y",",")," ",","),".",","),"/",","),"-",",")&amp;",")</f>
        <v/>
      </c>
    </row>
    <row r="242" customFormat="false" ht="15" hidden="false" customHeight="false" outlineLevel="0" collapsed="false">
      <c r="A242" s="5"/>
      <c r="B242" s="5"/>
      <c r="C242" s="6"/>
      <c r="D242" s="7"/>
      <c r="E242" s="5"/>
      <c r="F242" s="8"/>
      <c r="G242" s="9" t="str">
        <f aca="false">IF(C242="","",","&amp;SUBSTITUTE(SUBSTITUTE(SUBSTITUTE(SUBSTITUTE(SUBSTITUTE(SUBSTITUTE(TRIM(C242)," y ",","),"y",",")," ",","),".",","),"/",","),"-",",")&amp;",")</f>
        <v/>
      </c>
    </row>
    <row r="243" customFormat="false" ht="15" hidden="false" customHeight="false" outlineLevel="0" collapsed="false">
      <c r="A243" s="5"/>
      <c r="B243" s="5"/>
      <c r="C243" s="6"/>
      <c r="D243" s="7"/>
      <c r="E243" s="5"/>
      <c r="F243" s="8"/>
      <c r="G243" s="9" t="str">
        <f aca="false">IF(C243="","",","&amp;SUBSTITUTE(SUBSTITUTE(SUBSTITUTE(SUBSTITUTE(SUBSTITUTE(SUBSTITUTE(TRIM(C243)," y ",","),"y",",")," ",","),".",","),"/",","),"-",",")&amp;",")</f>
        <v/>
      </c>
    </row>
    <row r="244" customFormat="false" ht="15" hidden="false" customHeight="false" outlineLevel="0" collapsed="false">
      <c r="A244" s="5"/>
      <c r="B244" s="5"/>
      <c r="C244" s="6"/>
      <c r="D244" s="7"/>
      <c r="E244" s="5"/>
      <c r="F244" s="8"/>
      <c r="G244" s="9" t="str">
        <f aca="false">IF(C244="","",","&amp;SUBSTITUTE(SUBSTITUTE(SUBSTITUTE(SUBSTITUTE(SUBSTITUTE(SUBSTITUTE(TRIM(C244)," y ",","),"y",",")," ",","),".",","),"/",","),"-",",")&amp;",")</f>
        <v/>
      </c>
    </row>
    <row r="245" customFormat="false" ht="15" hidden="false" customHeight="false" outlineLevel="0" collapsed="false">
      <c r="A245" s="5"/>
      <c r="B245" s="5"/>
      <c r="C245" s="6"/>
      <c r="D245" s="7"/>
      <c r="E245" s="5"/>
      <c r="F245" s="8"/>
      <c r="G245" s="9" t="str">
        <f aca="false">IF(C245="","",","&amp;SUBSTITUTE(SUBSTITUTE(SUBSTITUTE(SUBSTITUTE(SUBSTITUTE(SUBSTITUTE(TRIM(C245)," y ",","),"y",",")," ",","),".",","),"/",","),"-",",")&amp;",")</f>
        <v/>
      </c>
    </row>
    <row r="246" customFormat="false" ht="15" hidden="false" customHeight="false" outlineLevel="0" collapsed="false">
      <c r="A246" s="5"/>
      <c r="B246" s="5"/>
      <c r="C246" s="6"/>
      <c r="D246" s="7"/>
      <c r="E246" s="5"/>
      <c r="F246" s="8"/>
      <c r="G246" s="9" t="str">
        <f aca="false">IF(C246="","",","&amp;SUBSTITUTE(SUBSTITUTE(SUBSTITUTE(SUBSTITUTE(SUBSTITUTE(SUBSTITUTE(TRIM(C246)," y ",","),"y",",")," ",","),".",","),"/",","),"-",",")&amp;",")</f>
        <v/>
      </c>
    </row>
    <row r="247" customFormat="false" ht="15" hidden="false" customHeight="false" outlineLevel="0" collapsed="false">
      <c r="A247" s="5"/>
      <c r="B247" s="5"/>
      <c r="C247" s="6"/>
      <c r="D247" s="7"/>
      <c r="E247" s="5"/>
      <c r="F247" s="8"/>
      <c r="G247" s="9" t="str">
        <f aca="false">IF(C247="","",","&amp;SUBSTITUTE(SUBSTITUTE(SUBSTITUTE(SUBSTITUTE(SUBSTITUTE(SUBSTITUTE(TRIM(C247)," y ",","),"y",",")," ",","),".",","),"/",","),"-",",")&amp;",")</f>
        <v/>
      </c>
    </row>
    <row r="248" customFormat="false" ht="15" hidden="false" customHeight="false" outlineLevel="0" collapsed="false">
      <c r="A248" s="5"/>
      <c r="B248" s="5"/>
      <c r="C248" s="6"/>
      <c r="D248" s="7"/>
      <c r="E248" s="5"/>
      <c r="F248" s="8"/>
      <c r="G248" s="9" t="str">
        <f aca="false">IF(C248="","",","&amp;SUBSTITUTE(SUBSTITUTE(SUBSTITUTE(SUBSTITUTE(SUBSTITUTE(SUBSTITUTE(TRIM(C248)," y ",","),"y",",")," ",","),".",","),"/",","),"-",",")&amp;",")</f>
        <v/>
      </c>
    </row>
    <row r="249" customFormat="false" ht="15" hidden="false" customHeight="false" outlineLevel="0" collapsed="false">
      <c r="A249" s="5"/>
      <c r="B249" s="5"/>
      <c r="C249" s="6"/>
      <c r="D249" s="7"/>
      <c r="E249" s="5"/>
      <c r="F249" s="8"/>
      <c r="G249" s="9" t="str">
        <f aca="false">IF(C249="","",","&amp;SUBSTITUTE(SUBSTITUTE(SUBSTITUTE(SUBSTITUTE(SUBSTITUTE(SUBSTITUTE(TRIM(C249)," y ",","),"y",",")," ",","),".",","),"/",","),"-",",")&amp;",")</f>
        <v/>
      </c>
    </row>
    <row r="250" customFormat="false" ht="15" hidden="false" customHeight="false" outlineLevel="0" collapsed="false">
      <c r="A250" s="5"/>
      <c r="B250" s="5"/>
      <c r="C250" s="6"/>
      <c r="D250" s="7"/>
      <c r="E250" s="5"/>
      <c r="F250" s="8"/>
      <c r="G250" s="9" t="str">
        <f aca="false">IF(C250="","",","&amp;SUBSTITUTE(SUBSTITUTE(SUBSTITUTE(SUBSTITUTE(SUBSTITUTE(SUBSTITUTE(TRIM(C250)," y ",","),"y",",")," ",","),".",","),"/",","),"-",",")&amp;",")</f>
        <v/>
      </c>
    </row>
    <row r="251" customFormat="false" ht="15" hidden="false" customHeight="false" outlineLevel="0" collapsed="false">
      <c r="A251" s="5"/>
      <c r="B251" s="5"/>
      <c r="C251" s="6"/>
      <c r="D251" s="7"/>
      <c r="E251" s="5"/>
      <c r="F251" s="8"/>
      <c r="G251" s="9" t="str">
        <f aca="false">IF(C251="","",","&amp;SUBSTITUTE(SUBSTITUTE(SUBSTITUTE(SUBSTITUTE(SUBSTITUTE(SUBSTITUTE(TRIM(C251)," y ",","),"y",",")," ",","),".",","),"/",","),"-",",")&amp;",")</f>
        <v/>
      </c>
    </row>
    <row r="252" customFormat="false" ht="15" hidden="false" customHeight="false" outlineLevel="0" collapsed="false">
      <c r="A252" s="5"/>
      <c r="B252" s="5"/>
      <c r="C252" s="6"/>
      <c r="D252" s="7"/>
      <c r="E252" s="5"/>
      <c r="F252" s="8"/>
      <c r="G252" s="9" t="str">
        <f aca="false">IF(C252="","",","&amp;SUBSTITUTE(SUBSTITUTE(SUBSTITUTE(SUBSTITUTE(SUBSTITUTE(SUBSTITUTE(TRIM(C252)," y ",","),"y",",")," ",","),".",","),"/",","),"-",",")&amp;",")</f>
        <v/>
      </c>
    </row>
    <row r="253" customFormat="false" ht="15" hidden="false" customHeight="false" outlineLevel="0" collapsed="false">
      <c r="A253" s="5"/>
      <c r="B253" s="5"/>
      <c r="C253" s="6"/>
      <c r="D253" s="7"/>
      <c r="E253" s="5"/>
      <c r="F253" s="8"/>
      <c r="G253" s="9" t="str">
        <f aca="false">IF(C253="","",","&amp;SUBSTITUTE(SUBSTITUTE(SUBSTITUTE(SUBSTITUTE(SUBSTITUTE(SUBSTITUTE(TRIM(C253)," y ",","),"y",",")," ",","),".",","),"/",","),"-",",")&amp;",")</f>
        <v/>
      </c>
    </row>
    <row r="254" customFormat="false" ht="15" hidden="false" customHeight="false" outlineLevel="0" collapsed="false">
      <c r="A254" s="5"/>
      <c r="B254" s="5"/>
      <c r="C254" s="6"/>
      <c r="D254" s="7"/>
      <c r="E254" s="5"/>
      <c r="F254" s="8"/>
      <c r="G254" s="9" t="str">
        <f aca="false">IF(C254="","",","&amp;SUBSTITUTE(SUBSTITUTE(SUBSTITUTE(SUBSTITUTE(SUBSTITUTE(SUBSTITUTE(TRIM(C254)," y ",","),"y",",")," ",","),".",","),"/",","),"-",",")&amp;",")</f>
        <v/>
      </c>
    </row>
    <row r="255" customFormat="false" ht="15" hidden="false" customHeight="false" outlineLevel="0" collapsed="false">
      <c r="A255" s="5"/>
      <c r="B255" s="5"/>
      <c r="C255" s="6"/>
      <c r="D255" s="7"/>
      <c r="E255" s="5"/>
      <c r="F255" s="8"/>
      <c r="G255" s="9" t="str">
        <f aca="false">IF(C255="","",","&amp;SUBSTITUTE(SUBSTITUTE(SUBSTITUTE(SUBSTITUTE(SUBSTITUTE(SUBSTITUTE(TRIM(C255)," y ",","),"y",",")," ",","),".",","),"/",","),"-",",")&amp;",")</f>
        <v/>
      </c>
    </row>
    <row r="256" customFormat="false" ht="15" hidden="false" customHeight="false" outlineLevel="0" collapsed="false">
      <c r="A256" s="5"/>
      <c r="B256" s="5"/>
      <c r="C256" s="6"/>
      <c r="D256" s="7"/>
      <c r="E256" s="5"/>
      <c r="F256" s="8"/>
      <c r="G256" s="9" t="str">
        <f aca="false">IF(C256="","",","&amp;SUBSTITUTE(SUBSTITUTE(SUBSTITUTE(SUBSTITUTE(SUBSTITUTE(SUBSTITUTE(TRIM(C256)," y ",","),"y",",")," ",","),".",","),"/",","),"-",",")&amp;",")</f>
        <v/>
      </c>
    </row>
    <row r="257" customFormat="false" ht="15" hidden="false" customHeight="false" outlineLevel="0" collapsed="false">
      <c r="A257" s="5"/>
      <c r="B257" s="5"/>
      <c r="C257" s="6"/>
      <c r="D257" s="7"/>
      <c r="E257" s="5"/>
      <c r="F257" s="8"/>
      <c r="G257" s="9" t="str">
        <f aca="false">IF(C257="","",","&amp;SUBSTITUTE(SUBSTITUTE(SUBSTITUTE(SUBSTITUTE(SUBSTITUTE(SUBSTITUTE(TRIM(C257)," y ",","),"y",",")," ",","),".",","),"/",","),"-",",")&amp;",")</f>
        <v/>
      </c>
    </row>
    <row r="258" customFormat="false" ht="15" hidden="false" customHeight="false" outlineLevel="0" collapsed="false">
      <c r="A258" s="5"/>
      <c r="B258" s="5"/>
      <c r="C258" s="6"/>
      <c r="D258" s="7"/>
      <c r="E258" s="5"/>
      <c r="F258" s="8"/>
      <c r="G258" s="9" t="str">
        <f aca="false">IF(C258="","",","&amp;SUBSTITUTE(SUBSTITUTE(SUBSTITUTE(SUBSTITUTE(SUBSTITUTE(SUBSTITUTE(TRIM(C258)," y ",","),"y",",")," ",","),".",","),"/",","),"-",",")&amp;",")</f>
        <v/>
      </c>
    </row>
    <row r="259" customFormat="false" ht="15" hidden="false" customHeight="false" outlineLevel="0" collapsed="false">
      <c r="A259" s="5"/>
      <c r="B259" s="5"/>
      <c r="C259" s="6"/>
      <c r="D259" s="7"/>
      <c r="E259" s="5"/>
      <c r="F259" s="8"/>
      <c r="G259" s="9" t="str">
        <f aca="false">IF(C259="","",","&amp;SUBSTITUTE(SUBSTITUTE(SUBSTITUTE(SUBSTITUTE(SUBSTITUTE(SUBSTITUTE(TRIM(C259)," y ",","),"y",",")," ",","),".",","),"/",","),"-",",")&amp;",")</f>
        <v/>
      </c>
    </row>
    <row r="260" customFormat="false" ht="15" hidden="false" customHeight="false" outlineLevel="0" collapsed="false">
      <c r="A260" s="5"/>
      <c r="B260" s="5"/>
      <c r="C260" s="6"/>
      <c r="D260" s="7"/>
      <c r="E260" s="5"/>
      <c r="F260" s="8"/>
      <c r="G260" s="9" t="str">
        <f aca="false">IF(C260="","",","&amp;SUBSTITUTE(SUBSTITUTE(SUBSTITUTE(SUBSTITUTE(SUBSTITUTE(SUBSTITUTE(TRIM(C260)," y ",","),"y",",")," ",","),".",","),"/",","),"-",",")&amp;",")</f>
        <v/>
      </c>
    </row>
    <row r="261" customFormat="false" ht="15" hidden="false" customHeight="false" outlineLevel="0" collapsed="false">
      <c r="A261" s="5"/>
      <c r="B261" s="5"/>
      <c r="C261" s="6"/>
      <c r="D261" s="7"/>
      <c r="E261" s="5"/>
      <c r="F261" s="8"/>
      <c r="G261" s="9" t="str">
        <f aca="false">IF(C261="","",","&amp;SUBSTITUTE(SUBSTITUTE(SUBSTITUTE(SUBSTITUTE(SUBSTITUTE(SUBSTITUTE(TRIM(C261)," y ",","),"y",",")," ",","),".",","),"/",","),"-",",")&amp;",")</f>
        <v/>
      </c>
    </row>
    <row r="262" customFormat="false" ht="15" hidden="false" customHeight="false" outlineLevel="0" collapsed="false">
      <c r="A262" s="5"/>
      <c r="B262" s="5"/>
      <c r="C262" s="6"/>
      <c r="D262" s="7"/>
      <c r="E262" s="5"/>
      <c r="F262" s="8"/>
      <c r="G262" s="9" t="str">
        <f aca="false">IF(C262="","",","&amp;SUBSTITUTE(SUBSTITUTE(SUBSTITUTE(SUBSTITUTE(SUBSTITUTE(SUBSTITUTE(TRIM(C262)," y ",","),"y",",")," ",","),".",","),"/",","),"-",",")&amp;",")</f>
        <v/>
      </c>
    </row>
    <row r="263" customFormat="false" ht="15" hidden="false" customHeight="false" outlineLevel="0" collapsed="false">
      <c r="A263" s="5"/>
      <c r="B263" s="5"/>
      <c r="C263" s="6"/>
      <c r="D263" s="7"/>
      <c r="E263" s="5"/>
      <c r="F263" s="8"/>
      <c r="G263" s="9" t="str">
        <f aca="false">IF(C263="","",","&amp;SUBSTITUTE(SUBSTITUTE(SUBSTITUTE(SUBSTITUTE(SUBSTITUTE(SUBSTITUTE(TRIM(C263)," y ",","),"y",",")," ",","),".",","),"/",","),"-",",")&amp;",")</f>
        <v/>
      </c>
    </row>
    <row r="264" customFormat="false" ht="15" hidden="false" customHeight="false" outlineLevel="0" collapsed="false">
      <c r="A264" s="5"/>
      <c r="B264" s="5"/>
      <c r="C264" s="6"/>
      <c r="D264" s="7"/>
      <c r="E264" s="5"/>
      <c r="F264" s="8"/>
      <c r="G264" s="9" t="str">
        <f aca="false">IF(C264="","",","&amp;SUBSTITUTE(SUBSTITUTE(SUBSTITUTE(SUBSTITUTE(SUBSTITUTE(SUBSTITUTE(TRIM(C264)," y ",","),"y",",")," ",","),".",","),"/",","),"-",",")&amp;",")</f>
        <v/>
      </c>
    </row>
    <row r="265" customFormat="false" ht="15" hidden="false" customHeight="false" outlineLevel="0" collapsed="false">
      <c r="A265" s="5"/>
      <c r="B265" s="5"/>
      <c r="C265" s="6"/>
      <c r="D265" s="7"/>
      <c r="E265" s="5"/>
      <c r="F265" s="8"/>
      <c r="G265" s="9" t="str">
        <f aca="false">IF(C265="","",","&amp;SUBSTITUTE(SUBSTITUTE(SUBSTITUTE(SUBSTITUTE(SUBSTITUTE(SUBSTITUTE(TRIM(C265)," y ",","),"y",",")," ",","),".",","),"/",","),"-",",")&amp;",")</f>
        <v/>
      </c>
    </row>
    <row r="266" customFormat="false" ht="15" hidden="false" customHeight="false" outlineLevel="0" collapsed="false">
      <c r="A266" s="5"/>
      <c r="B266" s="5"/>
      <c r="C266" s="6"/>
      <c r="D266" s="7"/>
      <c r="E266" s="5"/>
      <c r="F266" s="8"/>
      <c r="G266" s="9" t="str">
        <f aca="false">IF(C266="","",","&amp;SUBSTITUTE(SUBSTITUTE(SUBSTITUTE(SUBSTITUTE(SUBSTITUTE(SUBSTITUTE(TRIM(C266)," y ",","),"y",",")," ",","),".",","),"/",","),"-",",")&amp;",")</f>
        <v/>
      </c>
    </row>
    <row r="267" customFormat="false" ht="15" hidden="false" customHeight="false" outlineLevel="0" collapsed="false">
      <c r="A267" s="5"/>
      <c r="B267" s="5"/>
      <c r="C267" s="6"/>
      <c r="D267" s="7"/>
      <c r="E267" s="5"/>
      <c r="F267" s="8"/>
      <c r="G267" s="9" t="str">
        <f aca="false">IF(C267="","",","&amp;SUBSTITUTE(SUBSTITUTE(SUBSTITUTE(SUBSTITUTE(SUBSTITUTE(SUBSTITUTE(TRIM(C267)," y ",","),"y",",")," ",","),".",","),"/",","),"-",",")&amp;",")</f>
        <v/>
      </c>
    </row>
    <row r="268" customFormat="false" ht="15" hidden="false" customHeight="false" outlineLevel="0" collapsed="false">
      <c r="A268" s="5"/>
      <c r="B268" s="5"/>
      <c r="C268" s="6"/>
      <c r="D268" s="7"/>
      <c r="E268" s="5"/>
      <c r="F268" s="8"/>
      <c r="G268" s="9" t="str">
        <f aca="false">IF(C268="","",","&amp;SUBSTITUTE(SUBSTITUTE(SUBSTITUTE(SUBSTITUTE(SUBSTITUTE(SUBSTITUTE(TRIM(C268)," y ",","),"y",",")," ",","),".",","),"/",","),"-",",")&amp;",")</f>
        <v/>
      </c>
    </row>
    <row r="269" customFormat="false" ht="15" hidden="false" customHeight="false" outlineLevel="0" collapsed="false">
      <c r="A269" s="5"/>
      <c r="B269" s="5"/>
      <c r="C269" s="6"/>
      <c r="D269" s="7"/>
      <c r="E269" s="5"/>
      <c r="F269" s="8"/>
      <c r="G269" s="9" t="str">
        <f aca="false">IF(C269="","",","&amp;SUBSTITUTE(SUBSTITUTE(SUBSTITUTE(SUBSTITUTE(SUBSTITUTE(SUBSTITUTE(TRIM(C269)," y ",","),"y",",")," ",","),".",","),"/",","),"-",",")&amp;",")</f>
        <v/>
      </c>
    </row>
    <row r="270" customFormat="false" ht="15" hidden="false" customHeight="false" outlineLevel="0" collapsed="false">
      <c r="A270" s="5"/>
      <c r="B270" s="5"/>
      <c r="C270" s="6"/>
      <c r="D270" s="7"/>
      <c r="E270" s="5"/>
      <c r="F270" s="8"/>
      <c r="G270" s="9" t="str">
        <f aca="false">IF(C270="","",","&amp;SUBSTITUTE(SUBSTITUTE(SUBSTITUTE(SUBSTITUTE(SUBSTITUTE(SUBSTITUTE(TRIM(C270)," y ",","),"y",",")," ",","),".",","),"/",","),"-",",")&amp;",")</f>
        <v/>
      </c>
    </row>
    <row r="271" customFormat="false" ht="15" hidden="false" customHeight="false" outlineLevel="0" collapsed="false">
      <c r="A271" s="5"/>
      <c r="B271" s="5"/>
      <c r="C271" s="6"/>
      <c r="D271" s="7"/>
      <c r="E271" s="5"/>
      <c r="F271" s="8"/>
      <c r="G271" s="9" t="str">
        <f aca="false">IF(C271="","",","&amp;SUBSTITUTE(SUBSTITUTE(SUBSTITUTE(SUBSTITUTE(SUBSTITUTE(SUBSTITUTE(TRIM(C271)," y ",","),"y",",")," ",","),".",","),"/",","),"-",",")&amp;",")</f>
        <v/>
      </c>
    </row>
    <row r="272" customFormat="false" ht="15" hidden="false" customHeight="false" outlineLevel="0" collapsed="false">
      <c r="A272" s="5"/>
      <c r="B272" s="5"/>
      <c r="C272" s="6"/>
      <c r="D272" s="7"/>
      <c r="E272" s="5"/>
      <c r="F272" s="8"/>
      <c r="G272" s="9" t="str">
        <f aca="false">IF(C272="","",","&amp;SUBSTITUTE(SUBSTITUTE(SUBSTITUTE(SUBSTITUTE(SUBSTITUTE(SUBSTITUTE(TRIM(C272)," y ",","),"y",",")," ",","),".",","),"/",","),"-",",")&amp;",")</f>
        <v/>
      </c>
    </row>
    <row r="273" customFormat="false" ht="15" hidden="false" customHeight="false" outlineLevel="0" collapsed="false">
      <c r="A273" s="5"/>
      <c r="B273" s="5"/>
      <c r="C273" s="6"/>
      <c r="D273" s="7"/>
      <c r="E273" s="5"/>
      <c r="F273" s="8"/>
      <c r="G273" s="9" t="str">
        <f aca="false">IF(C273="","",","&amp;SUBSTITUTE(SUBSTITUTE(SUBSTITUTE(SUBSTITUTE(SUBSTITUTE(SUBSTITUTE(TRIM(C273)," y ",","),"y",",")," ",","),".",","),"/",","),"-",",")&amp;",")</f>
        <v/>
      </c>
    </row>
    <row r="274" customFormat="false" ht="15" hidden="false" customHeight="false" outlineLevel="0" collapsed="false">
      <c r="A274" s="5"/>
      <c r="B274" s="5"/>
      <c r="C274" s="6"/>
      <c r="D274" s="7"/>
      <c r="E274" s="5"/>
      <c r="F274" s="8"/>
      <c r="G274" s="9" t="str">
        <f aca="false">IF(C274="","",","&amp;SUBSTITUTE(SUBSTITUTE(SUBSTITUTE(SUBSTITUTE(SUBSTITUTE(SUBSTITUTE(TRIM(C274)," y ",","),"y",",")," ",","),".",","),"/",","),"-",",")&amp;",")</f>
        <v/>
      </c>
    </row>
    <row r="275" customFormat="false" ht="15" hidden="false" customHeight="false" outlineLevel="0" collapsed="false">
      <c r="A275" s="5"/>
      <c r="B275" s="5"/>
      <c r="C275" s="6"/>
      <c r="D275" s="7"/>
      <c r="E275" s="5"/>
      <c r="F275" s="8"/>
      <c r="G275" s="9" t="str">
        <f aca="false">IF(C275="","",","&amp;SUBSTITUTE(SUBSTITUTE(SUBSTITUTE(SUBSTITUTE(SUBSTITUTE(SUBSTITUTE(TRIM(C275)," y ",","),"y",",")," ",","),".",","),"/",","),"-",",")&amp;",")</f>
        <v/>
      </c>
    </row>
    <row r="276" customFormat="false" ht="15" hidden="false" customHeight="false" outlineLevel="0" collapsed="false">
      <c r="A276" s="5"/>
      <c r="B276" s="5"/>
      <c r="C276" s="6"/>
      <c r="D276" s="7"/>
      <c r="E276" s="5"/>
      <c r="F276" s="8"/>
      <c r="G276" s="9" t="str">
        <f aca="false">IF(C276="","",","&amp;SUBSTITUTE(SUBSTITUTE(SUBSTITUTE(SUBSTITUTE(SUBSTITUTE(SUBSTITUTE(TRIM(C276)," y ",","),"y",",")," ",","),".",","),"/",","),"-",",")&amp;",")</f>
        <v/>
      </c>
    </row>
    <row r="277" customFormat="false" ht="15" hidden="false" customHeight="false" outlineLevel="0" collapsed="false">
      <c r="A277" s="5"/>
      <c r="B277" s="5"/>
      <c r="C277" s="6"/>
      <c r="D277" s="7"/>
      <c r="E277" s="5"/>
      <c r="F277" s="8"/>
      <c r="G277" s="9" t="str">
        <f aca="false">IF(C277="","",","&amp;SUBSTITUTE(SUBSTITUTE(SUBSTITUTE(SUBSTITUTE(SUBSTITUTE(SUBSTITUTE(TRIM(C277)," y ",","),"y",",")," ",","),".",","),"/",","),"-",",")&amp;",")</f>
        <v/>
      </c>
    </row>
    <row r="278" customFormat="false" ht="15" hidden="false" customHeight="false" outlineLevel="0" collapsed="false">
      <c r="A278" s="5"/>
      <c r="B278" s="5"/>
      <c r="C278" s="6"/>
      <c r="D278" s="7"/>
      <c r="E278" s="5"/>
      <c r="F278" s="8"/>
      <c r="G278" s="9" t="str">
        <f aca="false">IF(C278="","",","&amp;SUBSTITUTE(SUBSTITUTE(SUBSTITUTE(SUBSTITUTE(SUBSTITUTE(SUBSTITUTE(TRIM(C278)," y ",","),"y",",")," ",","),".",","),"/",","),"-",",")&amp;",")</f>
        <v/>
      </c>
    </row>
    <row r="279" customFormat="false" ht="15" hidden="false" customHeight="false" outlineLevel="0" collapsed="false">
      <c r="A279" s="5"/>
      <c r="B279" s="5"/>
      <c r="C279" s="6"/>
      <c r="D279" s="7"/>
      <c r="E279" s="5"/>
      <c r="F279" s="8"/>
      <c r="G279" s="9" t="str">
        <f aca="false">IF(C279="","",","&amp;SUBSTITUTE(SUBSTITUTE(SUBSTITUTE(SUBSTITUTE(SUBSTITUTE(SUBSTITUTE(TRIM(C279)," y ",","),"y",",")," ",","),".",","),"/",","),"-",",")&amp;",")</f>
        <v/>
      </c>
    </row>
    <row r="280" customFormat="false" ht="15" hidden="false" customHeight="false" outlineLevel="0" collapsed="false">
      <c r="A280" s="5"/>
      <c r="B280" s="5"/>
      <c r="C280" s="6"/>
      <c r="D280" s="7"/>
      <c r="E280" s="5"/>
      <c r="F280" s="8"/>
      <c r="G280" s="9" t="str">
        <f aca="false">IF(C280="","",","&amp;SUBSTITUTE(SUBSTITUTE(SUBSTITUTE(SUBSTITUTE(SUBSTITUTE(SUBSTITUTE(TRIM(C280)," y ",","),"y",",")," ",","),".",","),"/",","),"-",",")&amp;",")</f>
        <v/>
      </c>
    </row>
    <row r="281" customFormat="false" ht="15" hidden="false" customHeight="false" outlineLevel="0" collapsed="false">
      <c r="A281" s="5"/>
      <c r="B281" s="5"/>
      <c r="C281" s="6"/>
      <c r="D281" s="7"/>
      <c r="E281" s="5"/>
      <c r="F281" s="8"/>
      <c r="G281" s="9" t="str">
        <f aca="false">IF(C281="","",","&amp;SUBSTITUTE(SUBSTITUTE(SUBSTITUTE(SUBSTITUTE(SUBSTITUTE(SUBSTITUTE(TRIM(C281)," y ",","),"y",",")," ",","),".",","),"/",","),"-",",")&amp;",")</f>
        <v/>
      </c>
    </row>
    <row r="282" customFormat="false" ht="15" hidden="false" customHeight="false" outlineLevel="0" collapsed="false">
      <c r="A282" s="5"/>
      <c r="B282" s="5"/>
      <c r="C282" s="6"/>
      <c r="D282" s="7"/>
      <c r="E282" s="5"/>
      <c r="F282" s="8"/>
      <c r="G282" s="9" t="str">
        <f aca="false">IF(C282="","",","&amp;SUBSTITUTE(SUBSTITUTE(SUBSTITUTE(SUBSTITUTE(SUBSTITUTE(SUBSTITUTE(TRIM(C282)," y ",","),"y",",")," ",","),".",","),"/",","),"-",",")&amp;",")</f>
        <v/>
      </c>
    </row>
    <row r="283" customFormat="false" ht="15" hidden="false" customHeight="false" outlineLevel="0" collapsed="false">
      <c r="A283" s="5"/>
      <c r="B283" s="5"/>
      <c r="C283" s="6"/>
      <c r="D283" s="7"/>
      <c r="E283" s="5"/>
      <c r="F283" s="8"/>
      <c r="G283" s="9" t="str">
        <f aca="false">IF(C283="","",","&amp;SUBSTITUTE(SUBSTITUTE(SUBSTITUTE(SUBSTITUTE(SUBSTITUTE(SUBSTITUTE(TRIM(C283)," y ",","),"y",",")," ",","),".",","),"/",","),"-",",")&amp;",")</f>
        <v/>
      </c>
    </row>
    <row r="284" customFormat="false" ht="15" hidden="false" customHeight="false" outlineLevel="0" collapsed="false">
      <c r="A284" s="5"/>
      <c r="B284" s="5"/>
      <c r="C284" s="6"/>
      <c r="D284" s="7"/>
      <c r="E284" s="5"/>
      <c r="F284" s="8"/>
      <c r="G284" s="9" t="str">
        <f aca="false">IF(C284="","",","&amp;SUBSTITUTE(SUBSTITUTE(SUBSTITUTE(SUBSTITUTE(SUBSTITUTE(SUBSTITUTE(TRIM(C284)," y ",","),"y",",")," ",","),".",","),"/",","),"-",",")&amp;",")</f>
        <v/>
      </c>
    </row>
    <row r="285" customFormat="false" ht="15" hidden="false" customHeight="false" outlineLevel="0" collapsed="false">
      <c r="A285" s="5"/>
      <c r="B285" s="5"/>
      <c r="C285" s="6"/>
      <c r="D285" s="7"/>
      <c r="E285" s="5"/>
      <c r="F285" s="8"/>
      <c r="G285" s="9" t="str">
        <f aca="false">IF(C285="","",","&amp;SUBSTITUTE(SUBSTITUTE(SUBSTITUTE(SUBSTITUTE(SUBSTITUTE(SUBSTITUTE(TRIM(C285)," y ",","),"y",",")," ",","),".",","),"/",","),"-",",")&amp;",")</f>
        <v/>
      </c>
    </row>
    <row r="286" customFormat="false" ht="15" hidden="false" customHeight="false" outlineLevel="0" collapsed="false">
      <c r="A286" s="5"/>
      <c r="B286" s="5"/>
      <c r="C286" s="6"/>
      <c r="D286" s="7"/>
      <c r="E286" s="5"/>
      <c r="F286" s="8"/>
      <c r="G286" s="9" t="str">
        <f aca="false">IF(C286="","",","&amp;SUBSTITUTE(SUBSTITUTE(SUBSTITUTE(SUBSTITUTE(SUBSTITUTE(SUBSTITUTE(TRIM(C286)," y ",","),"y",",")," ",","),".",","),"/",","),"-",",")&amp;",")</f>
        <v/>
      </c>
    </row>
    <row r="287" customFormat="false" ht="15" hidden="false" customHeight="false" outlineLevel="0" collapsed="false">
      <c r="A287" s="5"/>
      <c r="B287" s="5"/>
      <c r="C287" s="6"/>
      <c r="D287" s="7"/>
      <c r="E287" s="5"/>
      <c r="F287" s="8"/>
      <c r="G287" s="9" t="str">
        <f aca="false">IF(C287="","",","&amp;SUBSTITUTE(SUBSTITUTE(SUBSTITUTE(SUBSTITUTE(SUBSTITUTE(SUBSTITUTE(TRIM(C287)," y ",","),"y",",")," ",","),".",","),"/",","),"-",",")&amp;",")</f>
        <v/>
      </c>
    </row>
    <row r="288" customFormat="false" ht="15" hidden="false" customHeight="false" outlineLevel="0" collapsed="false">
      <c r="A288" s="5"/>
      <c r="B288" s="5"/>
      <c r="C288" s="6"/>
      <c r="D288" s="7"/>
      <c r="E288" s="5"/>
      <c r="F288" s="8"/>
      <c r="G288" s="9" t="str">
        <f aca="false">IF(C288="","",","&amp;SUBSTITUTE(SUBSTITUTE(SUBSTITUTE(SUBSTITUTE(SUBSTITUTE(SUBSTITUTE(TRIM(C288)," y ",","),"y",",")," ",","),".",","),"/",","),"-",",")&amp;",")</f>
        <v/>
      </c>
    </row>
    <row r="289" customFormat="false" ht="15" hidden="false" customHeight="false" outlineLevel="0" collapsed="false">
      <c r="A289" s="5"/>
      <c r="B289" s="5"/>
      <c r="C289" s="6"/>
      <c r="D289" s="7"/>
      <c r="E289" s="5"/>
      <c r="F289" s="8"/>
      <c r="G289" s="9" t="str">
        <f aca="false">IF(C289="","",","&amp;SUBSTITUTE(SUBSTITUTE(SUBSTITUTE(SUBSTITUTE(SUBSTITUTE(SUBSTITUTE(TRIM(C289)," y ",","),"y",",")," ",","),".",","),"/",","),"-",",")&amp;",")</f>
        <v/>
      </c>
    </row>
    <row r="290" customFormat="false" ht="15" hidden="false" customHeight="false" outlineLevel="0" collapsed="false">
      <c r="A290" s="5"/>
      <c r="B290" s="5"/>
      <c r="C290" s="6"/>
      <c r="D290" s="7"/>
      <c r="E290" s="5"/>
      <c r="F290" s="8"/>
      <c r="G290" s="9" t="str">
        <f aca="false">IF(C290="","",","&amp;SUBSTITUTE(SUBSTITUTE(SUBSTITUTE(SUBSTITUTE(SUBSTITUTE(SUBSTITUTE(TRIM(C290)," y ",","),"y",",")," ",","),".",","),"/",","),"-",",")&amp;",")</f>
        <v/>
      </c>
    </row>
    <row r="291" customFormat="false" ht="15" hidden="false" customHeight="false" outlineLevel="0" collapsed="false">
      <c r="A291" s="5"/>
      <c r="B291" s="5"/>
      <c r="C291" s="6"/>
      <c r="D291" s="7"/>
      <c r="E291" s="5"/>
      <c r="F291" s="8"/>
      <c r="G291" s="9" t="str">
        <f aca="false">IF(C291="","",","&amp;SUBSTITUTE(SUBSTITUTE(SUBSTITUTE(SUBSTITUTE(SUBSTITUTE(SUBSTITUTE(TRIM(C291)," y ",","),"y",",")," ",","),".",","),"/",","),"-",",")&amp;",")</f>
        <v/>
      </c>
    </row>
    <row r="292" customFormat="false" ht="15" hidden="false" customHeight="false" outlineLevel="0" collapsed="false">
      <c r="A292" s="5"/>
      <c r="B292" s="5"/>
      <c r="C292" s="6"/>
      <c r="D292" s="7"/>
      <c r="E292" s="5"/>
      <c r="F292" s="8"/>
      <c r="G292" s="9" t="str">
        <f aca="false">IF(C292="","",","&amp;SUBSTITUTE(SUBSTITUTE(SUBSTITUTE(SUBSTITUTE(SUBSTITUTE(SUBSTITUTE(TRIM(C292)," y ",","),"y",",")," ",","),".",","),"/",","),"-",",")&amp;",")</f>
        <v/>
      </c>
    </row>
    <row r="293" customFormat="false" ht="15" hidden="false" customHeight="false" outlineLevel="0" collapsed="false">
      <c r="A293" s="5"/>
      <c r="B293" s="5"/>
      <c r="C293" s="6"/>
      <c r="D293" s="7"/>
      <c r="E293" s="5"/>
      <c r="F293" s="8"/>
      <c r="G293" s="9" t="str">
        <f aca="false">IF(C293="","",","&amp;SUBSTITUTE(SUBSTITUTE(SUBSTITUTE(SUBSTITUTE(SUBSTITUTE(SUBSTITUTE(TRIM(C293)," y ",","),"y",",")," ",","),".",","),"/",","),"-",",")&amp;",")</f>
        <v/>
      </c>
    </row>
    <row r="294" customFormat="false" ht="15" hidden="false" customHeight="false" outlineLevel="0" collapsed="false">
      <c r="A294" s="5"/>
      <c r="B294" s="5"/>
      <c r="C294" s="6"/>
      <c r="D294" s="7"/>
      <c r="E294" s="5"/>
      <c r="F294" s="8"/>
      <c r="G294" s="9" t="str">
        <f aca="false">IF(C294="","",","&amp;SUBSTITUTE(SUBSTITUTE(SUBSTITUTE(SUBSTITUTE(SUBSTITUTE(SUBSTITUTE(TRIM(C294)," y ",","),"y",",")," ",","),".",","),"/",","),"-",",")&amp;",")</f>
        <v/>
      </c>
    </row>
    <row r="295" customFormat="false" ht="15" hidden="false" customHeight="false" outlineLevel="0" collapsed="false">
      <c r="A295" s="5"/>
      <c r="B295" s="5"/>
      <c r="C295" s="6"/>
      <c r="D295" s="7"/>
      <c r="E295" s="5"/>
      <c r="F295" s="8"/>
      <c r="G295" s="9" t="str">
        <f aca="false">IF(C295="","",","&amp;SUBSTITUTE(SUBSTITUTE(SUBSTITUTE(SUBSTITUTE(SUBSTITUTE(SUBSTITUTE(TRIM(C295)," y ",","),"y",",")," ",","),".",","),"/",","),"-",",")&amp;",")</f>
        <v/>
      </c>
    </row>
    <row r="296" customFormat="false" ht="15" hidden="false" customHeight="false" outlineLevel="0" collapsed="false">
      <c r="A296" s="5"/>
      <c r="B296" s="5"/>
      <c r="C296" s="6"/>
      <c r="D296" s="7"/>
      <c r="E296" s="5"/>
      <c r="F296" s="8"/>
      <c r="G296" s="9" t="str">
        <f aca="false">IF(C296="","",","&amp;SUBSTITUTE(SUBSTITUTE(SUBSTITUTE(SUBSTITUTE(SUBSTITUTE(SUBSTITUTE(TRIM(C296)," y ",","),"y",",")," ",","),".",","),"/",","),"-",",")&amp;",")</f>
        <v/>
      </c>
    </row>
    <row r="297" customFormat="false" ht="15" hidden="false" customHeight="false" outlineLevel="0" collapsed="false">
      <c r="A297" s="5"/>
      <c r="B297" s="5"/>
      <c r="C297" s="6"/>
      <c r="D297" s="7"/>
      <c r="E297" s="5"/>
      <c r="F297" s="8"/>
      <c r="G297" s="9" t="str">
        <f aca="false">IF(C297="","",","&amp;SUBSTITUTE(SUBSTITUTE(SUBSTITUTE(SUBSTITUTE(SUBSTITUTE(SUBSTITUTE(TRIM(C297)," y ",","),"y",",")," ",","),".",","),"/",","),"-",",")&amp;",")</f>
        <v/>
      </c>
    </row>
    <row r="298" customFormat="false" ht="15" hidden="false" customHeight="false" outlineLevel="0" collapsed="false">
      <c r="A298" s="5"/>
      <c r="B298" s="5"/>
      <c r="C298" s="6"/>
      <c r="D298" s="7"/>
      <c r="E298" s="5"/>
      <c r="F298" s="8"/>
      <c r="G298" s="9" t="str">
        <f aca="false">IF(C298="","",","&amp;SUBSTITUTE(SUBSTITUTE(SUBSTITUTE(SUBSTITUTE(SUBSTITUTE(SUBSTITUTE(TRIM(C298)," y ",","),"y",",")," ",","),".",","),"/",","),"-",",")&amp;",")</f>
        <v/>
      </c>
    </row>
    <row r="299" customFormat="false" ht="15" hidden="false" customHeight="false" outlineLevel="0" collapsed="false">
      <c r="A299" s="5"/>
      <c r="B299" s="5"/>
      <c r="C299" s="6"/>
      <c r="D299" s="7"/>
      <c r="E299" s="5"/>
      <c r="F299" s="8"/>
      <c r="G299" s="9" t="str">
        <f aca="false">IF(C299="","",","&amp;SUBSTITUTE(SUBSTITUTE(SUBSTITUTE(SUBSTITUTE(SUBSTITUTE(SUBSTITUTE(TRIM(C299)," y ",","),"y",",")," ",","),".",","),"/",","),"-",",")&amp;",")</f>
        <v/>
      </c>
    </row>
    <row r="300" customFormat="false" ht="15" hidden="false" customHeight="false" outlineLevel="0" collapsed="false">
      <c r="A300" s="5"/>
      <c r="B300" s="5"/>
      <c r="C300" s="6"/>
      <c r="D300" s="7"/>
      <c r="E300" s="5"/>
      <c r="F300" s="8"/>
      <c r="G300" s="9" t="str">
        <f aca="false">IF(C300="","",","&amp;SUBSTITUTE(SUBSTITUTE(SUBSTITUTE(SUBSTITUTE(SUBSTITUTE(SUBSTITUTE(TRIM(C300)," y ",","),"y",",")," ",","),".",","),"/",","),"-",",")&amp;",")</f>
        <v/>
      </c>
    </row>
    <row r="301" customFormat="false" ht="15" hidden="false" customHeight="false" outlineLevel="0" collapsed="false">
      <c r="A301" s="5"/>
      <c r="B301" s="5"/>
      <c r="C301" s="6"/>
      <c r="D301" s="7"/>
      <c r="E301" s="5"/>
      <c r="F301" s="8"/>
      <c r="G301" s="9" t="str">
        <f aca="false">IF(C301="","",","&amp;SUBSTITUTE(SUBSTITUTE(SUBSTITUTE(SUBSTITUTE(SUBSTITUTE(SUBSTITUTE(TRIM(C301)," y ",","),"y",",")," ",","),".",","),"/",","),"-",",")&amp;",")</f>
        <v/>
      </c>
    </row>
    <row r="302" customFormat="false" ht="15" hidden="false" customHeight="false" outlineLevel="0" collapsed="false">
      <c r="A302" s="5"/>
      <c r="B302" s="5"/>
      <c r="C302" s="6"/>
      <c r="D302" s="7"/>
      <c r="E302" s="5"/>
      <c r="F302" s="8"/>
      <c r="G302" s="9" t="str">
        <f aca="false">IF(C302="","",","&amp;SUBSTITUTE(SUBSTITUTE(SUBSTITUTE(SUBSTITUTE(SUBSTITUTE(SUBSTITUTE(TRIM(C302)," y ",","),"y",",")," ",","),".",","),"/",","),"-",",")&amp;",")</f>
        <v/>
      </c>
    </row>
    <row r="303" customFormat="false" ht="15" hidden="false" customHeight="false" outlineLevel="0" collapsed="false">
      <c r="A303" s="5"/>
      <c r="B303" s="5"/>
      <c r="C303" s="6"/>
      <c r="D303" s="7"/>
      <c r="E303" s="5"/>
      <c r="F303" s="8"/>
      <c r="G303" s="9" t="str">
        <f aca="false">IF(C303="","",","&amp;SUBSTITUTE(SUBSTITUTE(SUBSTITUTE(SUBSTITUTE(SUBSTITUTE(SUBSTITUTE(TRIM(C303)," y ",","),"y",",")," ",","),".",","),"/",","),"-",",")&amp;",")</f>
        <v/>
      </c>
    </row>
    <row r="304" customFormat="false" ht="15" hidden="false" customHeight="false" outlineLevel="0" collapsed="false">
      <c r="A304" s="5"/>
      <c r="B304" s="5"/>
      <c r="C304" s="6"/>
      <c r="D304" s="7"/>
      <c r="E304" s="5"/>
      <c r="F304" s="8"/>
      <c r="G304" s="9" t="str">
        <f aca="false">IF(C304="","",","&amp;SUBSTITUTE(SUBSTITUTE(SUBSTITUTE(SUBSTITUTE(SUBSTITUTE(SUBSTITUTE(TRIM(C304)," y ",","),"y",",")," ",","),".",","),"/",","),"-",",")&amp;",")</f>
        <v/>
      </c>
    </row>
    <row r="305" customFormat="false" ht="15" hidden="false" customHeight="false" outlineLevel="0" collapsed="false">
      <c r="A305" s="5"/>
      <c r="B305" s="5"/>
      <c r="C305" s="6"/>
      <c r="D305" s="7"/>
      <c r="E305" s="5"/>
      <c r="F305" s="8"/>
      <c r="G305" s="9" t="str">
        <f aca="false">IF(C305="","",","&amp;SUBSTITUTE(SUBSTITUTE(SUBSTITUTE(SUBSTITUTE(SUBSTITUTE(SUBSTITUTE(TRIM(C305)," y ",","),"y",",")," ",","),".",","),"/",","),"-",",")&amp;",")</f>
        <v/>
      </c>
    </row>
    <row r="306" customFormat="false" ht="15" hidden="false" customHeight="false" outlineLevel="0" collapsed="false">
      <c r="A306" s="5"/>
      <c r="B306" s="5"/>
      <c r="C306" s="6"/>
      <c r="D306" s="7"/>
      <c r="E306" s="5"/>
      <c r="F306" s="8"/>
      <c r="G306" s="9" t="str">
        <f aca="false">IF(C306="","",","&amp;SUBSTITUTE(SUBSTITUTE(SUBSTITUTE(SUBSTITUTE(SUBSTITUTE(SUBSTITUTE(TRIM(C306)," y ",","),"y",",")," ",","),".",","),"/",","),"-",",")&amp;",")</f>
        <v/>
      </c>
    </row>
    <row r="307" customFormat="false" ht="15" hidden="false" customHeight="false" outlineLevel="0" collapsed="false">
      <c r="A307" s="5"/>
      <c r="B307" s="5"/>
      <c r="C307" s="6"/>
      <c r="D307" s="7"/>
      <c r="E307" s="5"/>
      <c r="F307" s="8"/>
      <c r="G307" s="9" t="str">
        <f aca="false">IF(C307="","",","&amp;SUBSTITUTE(SUBSTITUTE(SUBSTITUTE(SUBSTITUTE(SUBSTITUTE(SUBSTITUTE(TRIM(C307)," y ",","),"y",",")," ",","),".",","),"/",","),"-",",")&amp;",")</f>
        <v/>
      </c>
    </row>
    <row r="308" customFormat="false" ht="15" hidden="false" customHeight="false" outlineLevel="0" collapsed="false">
      <c r="A308" s="5"/>
      <c r="B308" s="5"/>
      <c r="C308" s="6"/>
      <c r="D308" s="7"/>
      <c r="E308" s="5"/>
      <c r="F308" s="8"/>
      <c r="G308" s="9" t="str">
        <f aca="false">IF(C308="","",","&amp;SUBSTITUTE(SUBSTITUTE(SUBSTITUTE(SUBSTITUTE(SUBSTITUTE(SUBSTITUTE(TRIM(C308)," y ",","),"y",",")," ",","),".",","),"/",","),"-",",")&amp;",")</f>
        <v/>
      </c>
    </row>
    <row r="309" customFormat="false" ht="15" hidden="false" customHeight="false" outlineLevel="0" collapsed="false">
      <c r="A309" s="5"/>
      <c r="B309" s="5"/>
      <c r="C309" s="6"/>
      <c r="D309" s="7"/>
      <c r="E309" s="5"/>
      <c r="F309" s="8"/>
      <c r="G309" s="9" t="str">
        <f aca="false">IF(C309="","",","&amp;SUBSTITUTE(SUBSTITUTE(SUBSTITUTE(SUBSTITUTE(SUBSTITUTE(SUBSTITUTE(TRIM(C309)," y ",","),"y",",")," ",","),".",","),"/",","),"-",",")&amp;",")</f>
        <v/>
      </c>
    </row>
    <row r="310" customFormat="false" ht="15" hidden="false" customHeight="false" outlineLevel="0" collapsed="false">
      <c r="A310" s="5"/>
      <c r="B310" s="5"/>
      <c r="C310" s="6"/>
      <c r="D310" s="7"/>
      <c r="E310" s="5"/>
      <c r="F310" s="8"/>
      <c r="G310" s="9" t="str">
        <f aca="false">IF(C310="","",","&amp;SUBSTITUTE(SUBSTITUTE(SUBSTITUTE(SUBSTITUTE(SUBSTITUTE(SUBSTITUTE(TRIM(C310)," y ",","),"y",",")," ",","),".",","),"/",","),"-",",")&amp;",")</f>
        <v/>
      </c>
    </row>
    <row r="311" customFormat="false" ht="15" hidden="false" customHeight="false" outlineLevel="0" collapsed="false">
      <c r="A311" s="5"/>
      <c r="B311" s="5"/>
      <c r="C311" s="6"/>
      <c r="D311" s="7"/>
      <c r="E311" s="5"/>
      <c r="F311" s="8"/>
      <c r="G311" s="9" t="str">
        <f aca="false">IF(C311="","",","&amp;SUBSTITUTE(SUBSTITUTE(SUBSTITUTE(SUBSTITUTE(SUBSTITUTE(SUBSTITUTE(TRIM(C311)," y ",","),"y",",")," ",","),".",","),"/",","),"-",",")&amp;",")</f>
        <v/>
      </c>
    </row>
    <row r="312" customFormat="false" ht="15" hidden="false" customHeight="false" outlineLevel="0" collapsed="false">
      <c r="A312" s="5"/>
      <c r="B312" s="5"/>
      <c r="C312" s="6"/>
      <c r="D312" s="7"/>
      <c r="E312" s="5"/>
      <c r="F312" s="8"/>
      <c r="G312" s="9" t="str">
        <f aca="false">IF(C312="","",","&amp;SUBSTITUTE(SUBSTITUTE(SUBSTITUTE(SUBSTITUTE(SUBSTITUTE(SUBSTITUTE(TRIM(C312)," y ",","),"y",",")," ",","),".",","),"/",","),"-",",")&amp;",")</f>
        <v/>
      </c>
    </row>
    <row r="313" customFormat="false" ht="15" hidden="false" customHeight="false" outlineLevel="0" collapsed="false">
      <c r="A313" s="5"/>
      <c r="B313" s="5"/>
      <c r="C313" s="6"/>
      <c r="D313" s="7"/>
      <c r="E313" s="5"/>
      <c r="F313" s="8"/>
      <c r="G313" s="9" t="str">
        <f aca="false">IF(C313="","",","&amp;SUBSTITUTE(SUBSTITUTE(SUBSTITUTE(SUBSTITUTE(SUBSTITUTE(SUBSTITUTE(TRIM(C313)," y ",","),"y",",")," ",","),".",","),"/",","),"-",",")&amp;",")</f>
        <v/>
      </c>
    </row>
    <row r="314" customFormat="false" ht="15" hidden="false" customHeight="false" outlineLevel="0" collapsed="false">
      <c r="A314" s="5"/>
      <c r="B314" s="5"/>
      <c r="C314" s="6"/>
      <c r="D314" s="7"/>
      <c r="E314" s="5"/>
      <c r="F314" s="8"/>
      <c r="G314" s="9" t="str">
        <f aca="false">IF(C314="","",","&amp;SUBSTITUTE(SUBSTITUTE(SUBSTITUTE(SUBSTITUTE(SUBSTITUTE(SUBSTITUTE(TRIM(C314)," y ",","),"y",",")," ",","),".",","),"/",","),"-",",")&amp;",")</f>
        <v/>
      </c>
    </row>
    <row r="315" customFormat="false" ht="15" hidden="false" customHeight="false" outlineLevel="0" collapsed="false">
      <c r="A315" s="5"/>
      <c r="B315" s="5"/>
      <c r="C315" s="6"/>
      <c r="D315" s="7"/>
      <c r="E315" s="5"/>
      <c r="F315" s="8"/>
      <c r="G315" s="9" t="str">
        <f aca="false">IF(C315="","",","&amp;SUBSTITUTE(SUBSTITUTE(SUBSTITUTE(SUBSTITUTE(SUBSTITUTE(SUBSTITUTE(TRIM(C315)," y ",","),"y",",")," ",","),".",","),"/",","),"-",",")&amp;",")</f>
        <v/>
      </c>
    </row>
    <row r="316" customFormat="false" ht="15" hidden="false" customHeight="false" outlineLevel="0" collapsed="false">
      <c r="A316" s="5"/>
      <c r="B316" s="5"/>
      <c r="C316" s="6"/>
      <c r="D316" s="7"/>
      <c r="E316" s="5"/>
      <c r="F316" s="8"/>
      <c r="G316" s="9" t="str">
        <f aca="false">IF(C316="","",","&amp;SUBSTITUTE(SUBSTITUTE(SUBSTITUTE(SUBSTITUTE(SUBSTITUTE(SUBSTITUTE(TRIM(C316)," y ",","),"y",",")," ",","),".",","),"/",","),"-",",")&amp;",")</f>
        <v/>
      </c>
    </row>
    <row r="317" customFormat="false" ht="15" hidden="false" customHeight="false" outlineLevel="0" collapsed="false">
      <c r="A317" s="5"/>
      <c r="B317" s="5"/>
      <c r="C317" s="6"/>
      <c r="D317" s="7"/>
      <c r="E317" s="5"/>
      <c r="F317" s="8"/>
      <c r="G317" s="9" t="str">
        <f aca="false">IF(C317="","",","&amp;SUBSTITUTE(SUBSTITUTE(SUBSTITUTE(SUBSTITUTE(SUBSTITUTE(SUBSTITUTE(TRIM(C317)," y ",","),"y",",")," ",","),".",","),"/",","),"-",",")&amp;",")</f>
        <v/>
      </c>
    </row>
    <row r="318" customFormat="false" ht="15" hidden="false" customHeight="false" outlineLevel="0" collapsed="false">
      <c r="A318" s="5"/>
      <c r="B318" s="5"/>
      <c r="C318" s="6"/>
      <c r="D318" s="7"/>
      <c r="E318" s="5"/>
      <c r="F318" s="8"/>
      <c r="G318" s="9" t="str">
        <f aca="false">IF(C318="","",","&amp;SUBSTITUTE(SUBSTITUTE(SUBSTITUTE(SUBSTITUTE(SUBSTITUTE(SUBSTITUTE(TRIM(C318)," y ",","),"y",",")," ",","),".",","),"/",","),"-",",")&amp;",")</f>
        <v/>
      </c>
    </row>
    <row r="319" customFormat="false" ht="15" hidden="false" customHeight="false" outlineLevel="0" collapsed="false">
      <c r="A319" s="5"/>
      <c r="B319" s="5"/>
      <c r="C319" s="6"/>
      <c r="D319" s="7"/>
      <c r="E319" s="5"/>
      <c r="F319" s="8"/>
      <c r="G319" s="9" t="str">
        <f aca="false">IF(C319="","",","&amp;SUBSTITUTE(SUBSTITUTE(SUBSTITUTE(SUBSTITUTE(SUBSTITUTE(SUBSTITUTE(TRIM(C319)," y ",","),"y",",")," ",","),".",","),"/",","),"-",",")&amp;",")</f>
        <v/>
      </c>
    </row>
    <row r="320" customFormat="false" ht="15" hidden="false" customHeight="false" outlineLevel="0" collapsed="false">
      <c r="A320" s="5"/>
      <c r="B320" s="5"/>
      <c r="C320" s="6"/>
      <c r="D320" s="7"/>
      <c r="E320" s="5"/>
      <c r="F320" s="8"/>
      <c r="G320" s="9" t="str">
        <f aca="false">IF(C320="","",","&amp;SUBSTITUTE(SUBSTITUTE(SUBSTITUTE(SUBSTITUTE(SUBSTITUTE(SUBSTITUTE(TRIM(C320)," y ",","),"y",",")," ",","),".",","),"/",","),"-",",")&amp;",")</f>
        <v/>
      </c>
    </row>
    <row r="321" customFormat="false" ht="15" hidden="false" customHeight="false" outlineLevel="0" collapsed="false">
      <c r="A321" s="5"/>
      <c r="B321" s="5"/>
      <c r="C321" s="6"/>
      <c r="D321" s="7"/>
      <c r="E321" s="5"/>
      <c r="F321" s="8"/>
      <c r="G321" s="9" t="str">
        <f aca="false">IF(C321="","",","&amp;SUBSTITUTE(SUBSTITUTE(SUBSTITUTE(SUBSTITUTE(SUBSTITUTE(SUBSTITUTE(TRIM(C321)," y ",","),"y",",")," ",","),".",","),"/",","),"-",",")&amp;",")</f>
        <v/>
      </c>
    </row>
    <row r="322" customFormat="false" ht="15" hidden="false" customHeight="false" outlineLevel="0" collapsed="false">
      <c r="A322" s="5"/>
      <c r="B322" s="5"/>
      <c r="C322" s="6"/>
      <c r="D322" s="7"/>
      <c r="E322" s="5"/>
      <c r="F322" s="8"/>
      <c r="G322" s="9" t="str">
        <f aca="false">IF(C322="","",","&amp;SUBSTITUTE(SUBSTITUTE(SUBSTITUTE(SUBSTITUTE(SUBSTITUTE(SUBSTITUTE(TRIM(C322)," y ",","),"y",",")," ",","),".",","),"/",","),"-",",")&amp;",")</f>
        <v/>
      </c>
    </row>
    <row r="323" customFormat="false" ht="15" hidden="false" customHeight="false" outlineLevel="0" collapsed="false">
      <c r="A323" s="5"/>
      <c r="B323" s="5"/>
      <c r="C323" s="6"/>
      <c r="D323" s="7"/>
      <c r="E323" s="5"/>
      <c r="F323" s="8"/>
      <c r="G323" s="9" t="str">
        <f aca="false">IF(C323="","",","&amp;SUBSTITUTE(SUBSTITUTE(SUBSTITUTE(SUBSTITUTE(SUBSTITUTE(SUBSTITUTE(TRIM(C323)," y ",","),"y",",")," ",","),".",","),"/",","),"-",",")&amp;",")</f>
        <v/>
      </c>
    </row>
    <row r="324" customFormat="false" ht="15" hidden="false" customHeight="false" outlineLevel="0" collapsed="false">
      <c r="A324" s="5"/>
      <c r="B324" s="5"/>
      <c r="C324" s="6"/>
      <c r="D324" s="7"/>
      <c r="E324" s="5"/>
      <c r="F324" s="8"/>
      <c r="G324" s="9" t="str">
        <f aca="false">IF(C324="","",","&amp;SUBSTITUTE(SUBSTITUTE(SUBSTITUTE(SUBSTITUTE(SUBSTITUTE(SUBSTITUTE(TRIM(C324)," y ",","),"y",",")," ",","),".",","),"/",","),"-",",")&amp;",")</f>
        <v/>
      </c>
    </row>
    <row r="325" customFormat="false" ht="15" hidden="false" customHeight="false" outlineLevel="0" collapsed="false">
      <c r="A325" s="5"/>
      <c r="B325" s="5"/>
      <c r="C325" s="6"/>
      <c r="D325" s="7"/>
      <c r="E325" s="5"/>
      <c r="F325" s="8"/>
      <c r="G325" s="9" t="str">
        <f aca="false">IF(C325="","",","&amp;SUBSTITUTE(SUBSTITUTE(SUBSTITUTE(SUBSTITUTE(SUBSTITUTE(SUBSTITUTE(TRIM(C325)," y ",","),"y",",")," ",","),".",","),"/",","),"-",",")&amp;",")</f>
        <v/>
      </c>
    </row>
    <row r="326" customFormat="false" ht="15" hidden="false" customHeight="false" outlineLevel="0" collapsed="false">
      <c r="A326" s="5"/>
      <c r="B326" s="5"/>
      <c r="C326" s="6"/>
      <c r="D326" s="7"/>
      <c r="E326" s="5"/>
      <c r="F326" s="8"/>
      <c r="G326" s="9" t="str">
        <f aca="false">IF(C326="","",","&amp;SUBSTITUTE(SUBSTITUTE(SUBSTITUTE(SUBSTITUTE(SUBSTITUTE(SUBSTITUTE(TRIM(C326)," y ",","),"y",",")," ",","),".",","),"/",","),"-",",")&amp;",")</f>
        <v/>
      </c>
    </row>
    <row r="327" customFormat="false" ht="15" hidden="false" customHeight="false" outlineLevel="0" collapsed="false">
      <c r="A327" s="5"/>
      <c r="B327" s="5"/>
      <c r="C327" s="6"/>
      <c r="D327" s="7"/>
      <c r="E327" s="5"/>
      <c r="F327" s="8"/>
      <c r="G327" s="9" t="str">
        <f aca="false">IF(C327="","",","&amp;SUBSTITUTE(SUBSTITUTE(SUBSTITUTE(SUBSTITUTE(SUBSTITUTE(SUBSTITUTE(TRIM(C327)," y ",","),"y",",")," ",","),".",","),"/",","),"-",",")&amp;",")</f>
        <v/>
      </c>
    </row>
    <row r="328" customFormat="false" ht="15" hidden="false" customHeight="false" outlineLevel="0" collapsed="false">
      <c r="A328" s="5"/>
      <c r="B328" s="5"/>
      <c r="C328" s="6"/>
      <c r="D328" s="7"/>
      <c r="E328" s="5"/>
      <c r="F328" s="8"/>
      <c r="G328" s="9" t="str">
        <f aca="false">IF(C328="","",","&amp;SUBSTITUTE(SUBSTITUTE(SUBSTITUTE(SUBSTITUTE(SUBSTITUTE(SUBSTITUTE(TRIM(C328)," y ",","),"y",",")," ",","),".",","),"/",","),"-",",")&amp;",")</f>
        <v/>
      </c>
    </row>
    <row r="329" customFormat="false" ht="15" hidden="false" customHeight="false" outlineLevel="0" collapsed="false">
      <c r="A329" s="5"/>
      <c r="B329" s="5"/>
      <c r="C329" s="6"/>
      <c r="D329" s="7"/>
      <c r="E329" s="5"/>
      <c r="F329" s="8"/>
      <c r="G329" s="9" t="str">
        <f aca="false">IF(C329="","",","&amp;SUBSTITUTE(SUBSTITUTE(SUBSTITUTE(SUBSTITUTE(SUBSTITUTE(SUBSTITUTE(TRIM(C329)," y ",","),"y",",")," ",","),".",","),"/",","),"-",",")&amp;",")</f>
        <v/>
      </c>
    </row>
    <row r="330" customFormat="false" ht="15" hidden="false" customHeight="false" outlineLevel="0" collapsed="false">
      <c r="A330" s="5"/>
      <c r="B330" s="5"/>
      <c r="C330" s="6"/>
      <c r="D330" s="7"/>
      <c r="E330" s="5"/>
      <c r="F330" s="8"/>
      <c r="G330" s="9" t="str">
        <f aca="false">IF(C330="","",","&amp;SUBSTITUTE(SUBSTITUTE(SUBSTITUTE(SUBSTITUTE(SUBSTITUTE(SUBSTITUTE(TRIM(C330)," y ",","),"y",",")," ",","),".",","),"/",","),"-",",")&amp;",")</f>
        <v/>
      </c>
    </row>
    <row r="331" customFormat="false" ht="15" hidden="false" customHeight="false" outlineLevel="0" collapsed="false">
      <c r="A331" s="5"/>
      <c r="B331" s="5"/>
      <c r="C331" s="6"/>
      <c r="D331" s="7"/>
      <c r="E331" s="5"/>
      <c r="F331" s="8"/>
      <c r="G331" s="9" t="str">
        <f aca="false">IF(C331="","",","&amp;SUBSTITUTE(SUBSTITUTE(SUBSTITUTE(SUBSTITUTE(SUBSTITUTE(SUBSTITUTE(TRIM(C331)," y ",","),"y",",")," ",","),".",","),"/",","),"-",",")&amp;",")</f>
        <v/>
      </c>
    </row>
    <row r="332" customFormat="false" ht="15" hidden="false" customHeight="false" outlineLevel="0" collapsed="false">
      <c r="A332" s="5"/>
      <c r="B332" s="5"/>
      <c r="C332" s="6"/>
      <c r="D332" s="7"/>
      <c r="E332" s="5"/>
      <c r="F332" s="8"/>
      <c r="G332" s="9" t="str">
        <f aca="false">IF(C332="","",","&amp;SUBSTITUTE(SUBSTITUTE(SUBSTITUTE(SUBSTITUTE(SUBSTITUTE(SUBSTITUTE(TRIM(C332)," y ",","),"y",",")," ",","),".",","),"/",","),"-",",")&amp;",")</f>
        <v/>
      </c>
    </row>
    <row r="333" customFormat="false" ht="15" hidden="false" customHeight="false" outlineLevel="0" collapsed="false">
      <c r="A333" s="5"/>
      <c r="B333" s="5"/>
      <c r="C333" s="6"/>
      <c r="D333" s="7"/>
      <c r="E333" s="5"/>
      <c r="F333" s="8"/>
      <c r="G333" s="9" t="str">
        <f aca="false">IF(C333="","",","&amp;SUBSTITUTE(SUBSTITUTE(SUBSTITUTE(SUBSTITUTE(SUBSTITUTE(SUBSTITUTE(TRIM(C333)," y ",","),"y",",")," ",","),".",","),"/",","),"-",",")&amp;",")</f>
        <v/>
      </c>
    </row>
    <row r="334" customFormat="false" ht="15" hidden="false" customHeight="false" outlineLevel="0" collapsed="false">
      <c r="A334" s="5"/>
      <c r="B334" s="5"/>
      <c r="C334" s="6"/>
      <c r="D334" s="7"/>
      <c r="E334" s="5"/>
      <c r="F334" s="8"/>
      <c r="G334" s="9" t="str">
        <f aca="false">IF(C334="","",","&amp;SUBSTITUTE(SUBSTITUTE(SUBSTITUTE(SUBSTITUTE(SUBSTITUTE(SUBSTITUTE(TRIM(C334)," y ",","),"y",",")," ",","),".",","),"/",","),"-",",")&amp;",")</f>
        <v/>
      </c>
    </row>
    <row r="335" customFormat="false" ht="15" hidden="false" customHeight="false" outlineLevel="0" collapsed="false">
      <c r="A335" s="5"/>
      <c r="B335" s="5"/>
      <c r="C335" s="6"/>
      <c r="D335" s="7"/>
      <c r="E335" s="5"/>
      <c r="F335" s="8"/>
      <c r="G335" s="9" t="str">
        <f aca="false">IF(C335="","",","&amp;SUBSTITUTE(SUBSTITUTE(SUBSTITUTE(SUBSTITUTE(SUBSTITUTE(SUBSTITUTE(TRIM(C335)," y ",","),"y",",")," ",","),".",","),"/",","),"-",",")&amp;",")</f>
        <v/>
      </c>
    </row>
    <row r="336" customFormat="false" ht="15" hidden="false" customHeight="false" outlineLevel="0" collapsed="false">
      <c r="A336" s="5"/>
      <c r="B336" s="5"/>
      <c r="C336" s="6"/>
      <c r="D336" s="7"/>
      <c r="E336" s="5"/>
      <c r="F336" s="8"/>
      <c r="G336" s="9" t="str">
        <f aca="false">IF(C336="","",","&amp;SUBSTITUTE(SUBSTITUTE(SUBSTITUTE(SUBSTITUTE(SUBSTITUTE(SUBSTITUTE(TRIM(C336)," y ",","),"y",",")," ",","),".",","),"/",","),"-",",")&amp;",")</f>
        <v/>
      </c>
    </row>
    <row r="337" customFormat="false" ht="15" hidden="false" customHeight="false" outlineLevel="0" collapsed="false">
      <c r="A337" s="5"/>
      <c r="B337" s="5"/>
      <c r="C337" s="6"/>
      <c r="D337" s="7"/>
      <c r="E337" s="5"/>
      <c r="F337" s="8"/>
      <c r="G337" s="9" t="str">
        <f aca="false">IF(C337="","",","&amp;SUBSTITUTE(SUBSTITUTE(SUBSTITUTE(SUBSTITUTE(SUBSTITUTE(SUBSTITUTE(TRIM(C337)," y ",","),"y",",")," ",","),".",","),"/",","),"-",",")&amp;",")</f>
        <v/>
      </c>
    </row>
    <row r="338" customFormat="false" ht="15" hidden="false" customHeight="false" outlineLevel="0" collapsed="false">
      <c r="A338" s="5"/>
      <c r="B338" s="5"/>
      <c r="C338" s="6"/>
      <c r="D338" s="7"/>
      <c r="E338" s="5"/>
      <c r="F338" s="8"/>
      <c r="G338" s="9" t="str">
        <f aca="false">IF(C338="","",","&amp;SUBSTITUTE(SUBSTITUTE(SUBSTITUTE(SUBSTITUTE(SUBSTITUTE(SUBSTITUTE(TRIM(C338)," y ",","),"y",",")," ",","),".",","),"/",","),"-",",")&amp;",")</f>
        <v/>
      </c>
    </row>
    <row r="339" customFormat="false" ht="15" hidden="false" customHeight="false" outlineLevel="0" collapsed="false">
      <c r="A339" s="5"/>
      <c r="B339" s="5"/>
      <c r="C339" s="6"/>
      <c r="D339" s="7"/>
      <c r="E339" s="5"/>
      <c r="F339" s="8"/>
      <c r="G339" s="9" t="str">
        <f aca="false">IF(C339="","",","&amp;SUBSTITUTE(SUBSTITUTE(SUBSTITUTE(SUBSTITUTE(SUBSTITUTE(SUBSTITUTE(TRIM(C339)," y ",","),"y",",")," ",","),".",","),"/",","),"-",",")&amp;",")</f>
        <v/>
      </c>
    </row>
    <row r="340" customFormat="false" ht="15" hidden="false" customHeight="false" outlineLevel="0" collapsed="false">
      <c r="A340" s="5"/>
      <c r="B340" s="5"/>
      <c r="C340" s="6"/>
      <c r="D340" s="7"/>
      <c r="E340" s="5"/>
      <c r="F340" s="8"/>
      <c r="G340" s="9" t="str">
        <f aca="false">IF(C340="","",","&amp;SUBSTITUTE(SUBSTITUTE(SUBSTITUTE(SUBSTITUTE(SUBSTITUTE(SUBSTITUTE(TRIM(C340)," y ",","),"y",",")," ",","),".",","),"/",","),"-",",")&amp;",")</f>
        <v/>
      </c>
    </row>
    <row r="341" customFormat="false" ht="15" hidden="false" customHeight="false" outlineLevel="0" collapsed="false">
      <c r="A341" s="5"/>
      <c r="B341" s="5"/>
      <c r="C341" s="6"/>
      <c r="D341" s="7"/>
      <c r="E341" s="5"/>
      <c r="F341" s="8"/>
      <c r="G341" s="9" t="str">
        <f aca="false">IF(C341="","",","&amp;SUBSTITUTE(SUBSTITUTE(SUBSTITUTE(SUBSTITUTE(SUBSTITUTE(SUBSTITUTE(TRIM(C341)," y ",","),"y",",")," ",","),".",","),"/",","),"-",",")&amp;",")</f>
        <v/>
      </c>
    </row>
    <row r="342" customFormat="false" ht="15" hidden="false" customHeight="false" outlineLevel="0" collapsed="false">
      <c r="A342" s="5"/>
      <c r="B342" s="5"/>
      <c r="C342" s="6"/>
      <c r="D342" s="7"/>
      <c r="E342" s="5"/>
      <c r="F342" s="8"/>
      <c r="G342" s="9" t="str">
        <f aca="false">IF(C342="","",","&amp;SUBSTITUTE(SUBSTITUTE(SUBSTITUTE(SUBSTITUTE(SUBSTITUTE(SUBSTITUTE(TRIM(C342)," y ",","),"y",",")," ",","),".",","),"/",","),"-",",")&amp;",")</f>
        <v/>
      </c>
    </row>
    <row r="343" customFormat="false" ht="15" hidden="false" customHeight="false" outlineLevel="0" collapsed="false">
      <c r="A343" s="5"/>
      <c r="B343" s="5"/>
      <c r="C343" s="6"/>
      <c r="D343" s="7"/>
      <c r="E343" s="5"/>
      <c r="F343" s="8"/>
      <c r="G343" s="9" t="str">
        <f aca="false">IF(C343="","",","&amp;SUBSTITUTE(SUBSTITUTE(SUBSTITUTE(SUBSTITUTE(SUBSTITUTE(SUBSTITUTE(TRIM(C343)," y ",","),"y",",")," ",","),".",","),"/",","),"-",",")&amp;",")</f>
        <v/>
      </c>
    </row>
    <row r="344" customFormat="false" ht="15" hidden="false" customHeight="false" outlineLevel="0" collapsed="false">
      <c r="A344" s="5"/>
      <c r="B344" s="5"/>
      <c r="C344" s="6"/>
      <c r="D344" s="7"/>
      <c r="E344" s="5"/>
      <c r="F344" s="8"/>
      <c r="G344" s="9" t="str">
        <f aca="false">IF(C344="","",","&amp;SUBSTITUTE(SUBSTITUTE(SUBSTITUTE(SUBSTITUTE(SUBSTITUTE(SUBSTITUTE(TRIM(C344)," y ",","),"y",",")," ",","),".",","),"/",","),"-",",")&amp;",")</f>
        <v/>
      </c>
    </row>
    <row r="345" customFormat="false" ht="15" hidden="false" customHeight="false" outlineLevel="0" collapsed="false">
      <c r="A345" s="5"/>
      <c r="B345" s="5"/>
      <c r="C345" s="6"/>
      <c r="D345" s="7"/>
      <c r="E345" s="5"/>
      <c r="F345" s="8"/>
      <c r="G345" s="9" t="str">
        <f aca="false">IF(C345="","",","&amp;SUBSTITUTE(SUBSTITUTE(SUBSTITUTE(SUBSTITUTE(SUBSTITUTE(SUBSTITUTE(TRIM(C345)," y ",","),"y",",")," ",","),".",","),"/",","),"-",",")&amp;",")</f>
        <v/>
      </c>
    </row>
    <row r="346" customFormat="false" ht="15" hidden="false" customHeight="false" outlineLevel="0" collapsed="false">
      <c r="A346" s="5"/>
      <c r="B346" s="5"/>
      <c r="C346" s="6"/>
      <c r="D346" s="7"/>
      <c r="E346" s="5"/>
      <c r="F346" s="8"/>
      <c r="G346" s="9" t="str">
        <f aca="false">IF(C346="","",","&amp;SUBSTITUTE(SUBSTITUTE(SUBSTITUTE(SUBSTITUTE(SUBSTITUTE(SUBSTITUTE(TRIM(C346)," y ",","),"y",",")," ",","),".",","),"/",","),"-",",")&amp;",")</f>
        <v/>
      </c>
    </row>
    <row r="347" customFormat="false" ht="15" hidden="false" customHeight="false" outlineLevel="0" collapsed="false">
      <c r="A347" s="5"/>
      <c r="B347" s="5"/>
      <c r="C347" s="6"/>
      <c r="D347" s="7"/>
      <c r="E347" s="5"/>
      <c r="F347" s="8"/>
      <c r="G347" s="9" t="str">
        <f aca="false">IF(C347="","",","&amp;SUBSTITUTE(SUBSTITUTE(SUBSTITUTE(SUBSTITUTE(SUBSTITUTE(SUBSTITUTE(TRIM(C347)," y ",","),"y",",")," ",","),".",","),"/",","),"-",",")&amp;",")</f>
        <v/>
      </c>
    </row>
    <row r="348" customFormat="false" ht="15" hidden="false" customHeight="false" outlineLevel="0" collapsed="false">
      <c r="A348" s="5"/>
      <c r="B348" s="5"/>
      <c r="C348" s="6"/>
      <c r="D348" s="7"/>
      <c r="E348" s="5"/>
      <c r="F348" s="8"/>
      <c r="G348" s="9" t="str">
        <f aca="false">IF(C348="","",","&amp;SUBSTITUTE(SUBSTITUTE(SUBSTITUTE(SUBSTITUTE(SUBSTITUTE(SUBSTITUTE(TRIM(C348)," y ",","),"y",",")," ",","),".",","),"/",","),"-",",")&amp;",")</f>
        <v/>
      </c>
    </row>
    <row r="349" customFormat="false" ht="15" hidden="false" customHeight="false" outlineLevel="0" collapsed="false">
      <c r="A349" s="5"/>
      <c r="B349" s="5"/>
      <c r="C349" s="6"/>
      <c r="D349" s="7"/>
      <c r="E349" s="5"/>
      <c r="F349" s="8"/>
      <c r="G349" s="9" t="str">
        <f aca="false">IF(C349="","",","&amp;SUBSTITUTE(SUBSTITUTE(SUBSTITUTE(SUBSTITUTE(SUBSTITUTE(SUBSTITUTE(TRIM(C349)," y ",","),"y",",")," ",","),".",","),"/",","),"-",",")&amp;",")</f>
        <v/>
      </c>
    </row>
    <row r="350" customFormat="false" ht="15" hidden="false" customHeight="false" outlineLevel="0" collapsed="false">
      <c r="A350" s="5"/>
      <c r="B350" s="5"/>
      <c r="C350" s="6"/>
      <c r="D350" s="7"/>
      <c r="E350" s="5"/>
      <c r="F350" s="8"/>
      <c r="G350" s="9" t="str">
        <f aca="false">IF(C350="","",","&amp;SUBSTITUTE(SUBSTITUTE(SUBSTITUTE(SUBSTITUTE(SUBSTITUTE(SUBSTITUTE(TRIM(C350)," y ",","),"y",",")," ",","),".",","),"/",","),"-",",")&amp;",")</f>
        <v/>
      </c>
    </row>
    <row r="351" customFormat="false" ht="15" hidden="false" customHeight="false" outlineLevel="0" collapsed="false">
      <c r="A351" s="5"/>
      <c r="B351" s="5"/>
      <c r="C351" s="6"/>
      <c r="D351" s="7"/>
      <c r="E351" s="5"/>
      <c r="F351" s="8"/>
      <c r="G351" s="9" t="str">
        <f aca="false">IF(C351="","",","&amp;SUBSTITUTE(SUBSTITUTE(SUBSTITUTE(SUBSTITUTE(SUBSTITUTE(SUBSTITUTE(TRIM(C351)," y ",","),"y",",")," ",","),".",","),"/",","),"-",",")&amp;",")</f>
        <v/>
      </c>
    </row>
    <row r="352" customFormat="false" ht="15" hidden="false" customHeight="false" outlineLevel="0" collapsed="false">
      <c r="A352" s="5"/>
      <c r="B352" s="5"/>
      <c r="C352" s="6"/>
      <c r="D352" s="7"/>
      <c r="E352" s="5"/>
      <c r="F352" s="8"/>
      <c r="G352" s="9" t="str">
        <f aca="false">IF(C352="","",","&amp;SUBSTITUTE(SUBSTITUTE(SUBSTITUTE(SUBSTITUTE(SUBSTITUTE(SUBSTITUTE(TRIM(C352)," y ",","),"y",",")," ",","),".",","),"/",","),"-",",")&amp;",")</f>
        <v/>
      </c>
    </row>
    <row r="353" customFormat="false" ht="15" hidden="false" customHeight="false" outlineLevel="0" collapsed="false">
      <c r="A353" s="5"/>
      <c r="B353" s="5"/>
      <c r="C353" s="6"/>
      <c r="D353" s="7"/>
      <c r="E353" s="5"/>
      <c r="F353" s="8"/>
      <c r="G353" s="9" t="str">
        <f aca="false">IF(C353="","",","&amp;SUBSTITUTE(SUBSTITUTE(SUBSTITUTE(SUBSTITUTE(SUBSTITUTE(SUBSTITUTE(TRIM(C353)," y ",","),"y",",")," ",","),".",","),"/",","),"-",",")&amp;",")</f>
        <v/>
      </c>
    </row>
    <row r="354" customFormat="false" ht="15" hidden="false" customHeight="false" outlineLevel="0" collapsed="false">
      <c r="A354" s="5"/>
      <c r="B354" s="5"/>
      <c r="C354" s="6"/>
      <c r="D354" s="7"/>
      <c r="E354" s="5"/>
      <c r="F354" s="8"/>
      <c r="G354" s="9" t="str">
        <f aca="false">IF(C354="","",","&amp;SUBSTITUTE(SUBSTITUTE(SUBSTITUTE(SUBSTITUTE(SUBSTITUTE(SUBSTITUTE(TRIM(C354)," y ",","),"y",",")," ",","),".",","),"/",","),"-",",")&amp;",")</f>
        <v/>
      </c>
    </row>
    <row r="355" customFormat="false" ht="15" hidden="false" customHeight="false" outlineLevel="0" collapsed="false">
      <c r="A355" s="5"/>
      <c r="B355" s="5"/>
      <c r="C355" s="6"/>
      <c r="D355" s="7"/>
      <c r="E355" s="5"/>
      <c r="F355" s="8"/>
      <c r="G355" s="9" t="str">
        <f aca="false">IF(C355="","",","&amp;SUBSTITUTE(SUBSTITUTE(SUBSTITUTE(SUBSTITUTE(SUBSTITUTE(SUBSTITUTE(TRIM(C355)," y ",","),"y",",")," ",","),".",","),"/",","),"-",",")&amp;",")</f>
        <v/>
      </c>
    </row>
    <row r="356" customFormat="false" ht="15" hidden="false" customHeight="false" outlineLevel="0" collapsed="false">
      <c r="A356" s="5"/>
      <c r="B356" s="5"/>
      <c r="C356" s="6"/>
      <c r="D356" s="7"/>
      <c r="E356" s="5"/>
      <c r="F356" s="8"/>
      <c r="G356" s="9" t="str">
        <f aca="false">IF(C356="","",","&amp;SUBSTITUTE(SUBSTITUTE(SUBSTITUTE(SUBSTITUTE(SUBSTITUTE(SUBSTITUTE(TRIM(C356)," y ",","),"y",",")," ",","),".",","),"/",","),"-",",")&amp;",")</f>
        <v/>
      </c>
    </row>
    <row r="357" customFormat="false" ht="15" hidden="false" customHeight="false" outlineLevel="0" collapsed="false">
      <c r="A357" s="5"/>
      <c r="B357" s="5"/>
      <c r="C357" s="6"/>
      <c r="D357" s="7"/>
      <c r="E357" s="5"/>
      <c r="F357" s="8"/>
      <c r="G357" s="9" t="str">
        <f aca="false">IF(C357="","",","&amp;SUBSTITUTE(SUBSTITUTE(SUBSTITUTE(SUBSTITUTE(SUBSTITUTE(SUBSTITUTE(TRIM(C357)," y ",","),"y",",")," ",","),".",","),"/",","),"-",",")&amp;",")</f>
        <v/>
      </c>
    </row>
    <row r="358" customFormat="false" ht="15" hidden="false" customHeight="false" outlineLevel="0" collapsed="false">
      <c r="A358" s="5"/>
      <c r="B358" s="5"/>
      <c r="C358" s="6"/>
      <c r="D358" s="7"/>
      <c r="E358" s="5"/>
      <c r="F358" s="8"/>
      <c r="G358" s="9" t="str">
        <f aca="false">IF(C358="","",","&amp;SUBSTITUTE(SUBSTITUTE(SUBSTITUTE(SUBSTITUTE(SUBSTITUTE(SUBSTITUTE(TRIM(C358)," y ",","),"y",",")," ",","),".",","),"/",","),"-",",")&amp;",")</f>
        <v/>
      </c>
    </row>
    <row r="359" customFormat="false" ht="15" hidden="false" customHeight="false" outlineLevel="0" collapsed="false">
      <c r="A359" s="5"/>
      <c r="B359" s="5"/>
      <c r="C359" s="6"/>
      <c r="D359" s="7"/>
      <c r="E359" s="5"/>
      <c r="F359" s="8"/>
      <c r="G359" s="9" t="str">
        <f aca="false">IF(C359="","",","&amp;SUBSTITUTE(SUBSTITUTE(SUBSTITUTE(SUBSTITUTE(SUBSTITUTE(SUBSTITUTE(TRIM(C359)," y ",","),"y",",")," ",","),".",","),"/",","),"-",",")&amp;",")</f>
        <v/>
      </c>
    </row>
    <row r="360" customFormat="false" ht="15" hidden="false" customHeight="false" outlineLevel="0" collapsed="false">
      <c r="A360" s="5"/>
      <c r="B360" s="5"/>
      <c r="C360" s="6"/>
      <c r="D360" s="7"/>
      <c r="E360" s="5"/>
      <c r="F360" s="8"/>
      <c r="G360" s="9" t="str">
        <f aca="false">IF(C360="","",","&amp;SUBSTITUTE(SUBSTITUTE(SUBSTITUTE(SUBSTITUTE(SUBSTITUTE(SUBSTITUTE(TRIM(C360)," y ",","),"y",",")," ",","),".",","),"/",","),"-",",")&amp;",")</f>
        <v/>
      </c>
    </row>
    <row r="361" customFormat="false" ht="15" hidden="false" customHeight="false" outlineLevel="0" collapsed="false">
      <c r="A361" s="5"/>
      <c r="B361" s="5"/>
      <c r="C361" s="6"/>
      <c r="D361" s="7"/>
      <c r="E361" s="5"/>
      <c r="F361" s="8"/>
      <c r="G361" s="9" t="str">
        <f aca="false">IF(C361="","",","&amp;SUBSTITUTE(SUBSTITUTE(SUBSTITUTE(SUBSTITUTE(SUBSTITUTE(SUBSTITUTE(TRIM(C361)," y ",","),"y",",")," ",","),".",","),"/",","),"-",",")&amp;",")</f>
        <v/>
      </c>
    </row>
    <row r="362" customFormat="false" ht="15" hidden="false" customHeight="false" outlineLevel="0" collapsed="false">
      <c r="A362" s="5"/>
      <c r="B362" s="5"/>
      <c r="C362" s="6"/>
      <c r="D362" s="7"/>
      <c r="E362" s="5"/>
      <c r="F362" s="8"/>
      <c r="G362" s="9" t="str">
        <f aca="false">IF(C362="","",","&amp;SUBSTITUTE(SUBSTITUTE(SUBSTITUTE(SUBSTITUTE(SUBSTITUTE(SUBSTITUTE(TRIM(C362)," y ",","),"y",",")," ",","),".",","),"/",","),"-",",")&amp;",")</f>
        <v/>
      </c>
    </row>
    <row r="363" customFormat="false" ht="15" hidden="false" customHeight="false" outlineLevel="0" collapsed="false">
      <c r="A363" s="5"/>
      <c r="B363" s="5"/>
      <c r="C363" s="6"/>
      <c r="D363" s="7"/>
      <c r="E363" s="5"/>
      <c r="F363" s="8"/>
      <c r="G363" s="9" t="str">
        <f aca="false">IF(C363="","",","&amp;SUBSTITUTE(SUBSTITUTE(SUBSTITUTE(SUBSTITUTE(SUBSTITUTE(SUBSTITUTE(TRIM(C363)," y ",","),"y",",")," ",","),".",","),"/",","),"-",",")&amp;",")</f>
        <v/>
      </c>
    </row>
    <row r="364" customFormat="false" ht="15" hidden="false" customHeight="false" outlineLevel="0" collapsed="false">
      <c r="A364" s="5"/>
      <c r="B364" s="5"/>
      <c r="C364" s="6"/>
      <c r="D364" s="7"/>
      <c r="E364" s="5"/>
      <c r="F364" s="8"/>
      <c r="G364" s="9" t="str">
        <f aca="false">IF(C364="","",","&amp;SUBSTITUTE(SUBSTITUTE(SUBSTITUTE(SUBSTITUTE(SUBSTITUTE(SUBSTITUTE(TRIM(C364)," y ",","),"y",",")," ",","),".",","),"/",","),"-",",")&amp;",")</f>
        <v/>
      </c>
    </row>
    <row r="365" customFormat="false" ht="15" hidden="false" customHeight="false" outlineLevel="0" collapsed="false">
      <c r="A365" s="5"/>
      <c r="B365" s="5"/>
      <c r="C365" s="6"/>
      <c r="D365" s="7"/>
      <c r="E365" s="5"/>
      <c r="F365" s="8"/>
      <c r="G365" s="9" t="str">
        <f aca="false">IF(C365="","",","&amp;SUBSTITUTE(SUBSTITUTE(SUBSTITUTE(SUBSTITUTE(SUBSTITUTE(SUBSTITUTE(TRIM(C365)," y ",","),"y",",")," ",","),".",","),"/",","),"-",",")&amp;",")</f>
        <v/>
      </c>
    </row>
    <row r="366" customFormat="false" ht="15" hidden="false" customHeight="false" outlineLevel="0" collapsed="false">
      <c r="A366" s="5"/>
      <c r="B366" s="5"/>
      <c r="C366" s="6"/>
      <c r="D366" s="7"/>
      <c r="E366" s="5"/>
      <c r="F366" s="8"/>
      <c r="G366" s="9" t="str">
        <f aca="false">IF(C366="","",","&amp;SUBSTITUTE(SUBSTITUTE(SUBSTITUTE(SUBSTITUTE(SUBSTITUTE(SUBSTITUTE(TRIM(C366)," y ",","),"y",",")," ",","),".",","),"/",","),"-",",")&amp;",")</f>
        <v/>
      </c>
    </row>
    <row r="367" customFormat="false" ht="15" hidden="false" customHeight="false" outlineLevel="0" collapsed="false">
      <c r="A367" s="5"/>
      <c r="B367" s="5"/>
      <c r="C367" s="6"/>
      <c r="D367" s="7"/>
      <c r="E367" s="5"/>
      <c r="F367" s="8"/>
      <c r="G367" s="9" t="str">
        <f aca="false">IF(C367="","",","&amp;SUBSTITUTE(SUBSTITUTE(SUBSTITUTE(SUBSTITUTE(SUBSTITUTE(SUBSTITUTE(TRIM(C367)," y ",","),"y",",")," ",","),".",","),"/",","),"-",",")&amp;",")</f>
        <v/>
      </c>
    </row>
    <row r="368" customFormat="false" ht="15" hidden="false" customHeight="false" outlineLevel="0" collapsed="false">
      <c r="A368" s="5"/>
      <c r="B368" s="5"/>
      <c r="C368" s="6"/>
      <c r="D368" s="7"/>
      <c r="E368" s="5"/>
      <c r="F368" s="8"/>
      <c r="G368" s="9" t="str">
        <f aca="false">IF(C368="","",","&amp;SUBSTITUTE(SUBSTITUTE(SUBSTITUTE(SUBSTITUTE(SUBSTITUTE(SUBSTITUTE(TRIM(C368)," y ",","),"y",",")," ",","),".",","),"/",","),"-",",")&amp;",")</f>
        <v/>
      </c>
    </row>
    <row r="369" customFormat="false" ht="15" hidden="false" customHeight="false" outlineLevel="0" collapsed="false">
      <c r="A369" s="5"/>
      <c r="B369" s="5"/>
      <c r="C369" s="6"/>
      <c r="D369" s="7"/>
      <c r="E369" s="5"/>
      <c r="F369" s="8"/>
      <c r="G369" s="9" t="str">
        <f aca="false">IF(C369="","",","&amp;SUBSTITUTE(SUBSTITUTE(SUBSTITUTE(SUBSTITUTE(SUBSTITUTE(SUBSTITUTE(TRIM(C369)," y ",","),"y",",")," ",","),".",","),"/",","),"-",",")&amp;",")</f>
        <v/>
      </c>
    </row>
    <row r="370" customFormat="false" ht="15" hidden="false" customHeight="false" outlineLevel="0" collapsed="false">
      <c r="A370" s="5"/>
      <c r="B370" s="5"/>
      <c r="C370" s="6"/>
      <c r="D370" s="7"/>
      <c r="E370" s="5"/>
      <c r="F370" s="8"/>
      <c r="G370" s="9" t="str">
        <f aca="false">IF(C370="","",","&amp;SUBSTITUTE(SUBSTITUTE(SUBSTITUTE(SUBSTITUTE(SUBSTITUTE(SUBSTITUTE(TRIM(C370)," y ",","),"y",",")," ",","),".",","),"/",","),"-",",")&amp;",")</f>
        <v/>
      </c>
    </row>
    <row r="371" customFormat="false" ht="15" hidden="false" customHeight="false" outlineLevel="0" collapsed="false">
      <c r="A371" s="5"/>
      <c r="B371" s="5"/>
      <c r="C371" s="6"/>
      <c r="D371" s="7"/>
      <c r="E371" s="5"/>
      <c r="F371" s="8"/>
      <c r="G371" s="9" t="str">
        <f aca="false">IF(C371="","",","&amp;SUBSTITUTE(SUBSTITUTE(SUBSTITUTE(SUBSTITUTE(SUBSTITUTE(SUBSTITUTE(TRIM(C371)," y ",","),"y",",")," ",","),".",","),"/",","),"-",",")&amp;",")</f>
        <v/>
      </c>
    </row>
    <row r="372" customFormat="false" ht="15" hidden="false" customHeight="false" outlineLevel="0" collapsed="false">
      <c r="A372" s="5"/>
      <c r="B372" s="5"/>
      <c r="C372" s="6"/>
      <c r="D372" s="7"/>
      <c r="E372" s="5"/>
      <c r="F372" s="8"/>
      <c r="G372" s="9" t="str">
        <f aca="false">IF(C372="","",","&amp;SUBSTITUTE(SUBSTITUTE(SUBSTITUTE(SUBSTITUTE(SUBSTITUTE(SUBSTITUTE(TRIM(C372)," y ",","),"y",",")," ",","),".",","),"/",","),"-",",")&amp;",")</f>
        <v/>
      </c>
    </row>
    <row r="373" customFormat="false" ht="15" hidden="false" customHeight="false" outlineLevel="0" collapsed="false">
      <c r="A373" s="5"/>
      <c r="B373" s="5"/>
      <c r="C373" s="6"/>
      <c r="D373" s="7"/>
      <c r="E373" s="5"/>
      <c r="F373" s="8"/>
      <c r="G373" s="9" t="str">
        <f aca="false">IF(C373="","",","&amp;SUBSTITUTE(SUBSTITUTE(SUBSTITUTE(SUBSTITUTE(SUBSTITUTE(SUBSTITUTE(TRIM(C373)," y ",","),"y",",")," ",","),".",","),"/",","),"-",",")&amp;",")</f>
        <v/>
      </c>
    </row>
    <row r="374" customFormat="false" ht="15" hidden="false" customHeight="false" outlineLevel="0" collapsed="false">
      <c r="A374" s="5"/>
      <c r="B374" s="5"/>
      <c r="C374" s="6"/>
      <c r="D374" s="7"/>
      <c r="E374" s="5"/>
      <c r="F374" s="8"/>
      <c r="G374" s="9" t="str">
        <f aca="false">IF(C374="","",","&amp;SUBSTITUTE(SUBSTITUTE(SUBSTITUTE(SUBSTITUTE(SUBSTITUTE(SUBSTITUTE(TRIM(C374)," y ",","),"y",",")," ",","),".",","),"/",","),"-",",")&amp;",")</f>
        <v/>
      </c>
    </row>
    <row r="375" customFormat="false" ht="15" hidden="false" customHeight="false" outlineLevel="0" collapsed="false">
      <c r="A375" s="5"/>
      <c r="B375" s="5"/>
      <c r="C375" s="6"/>
      <c r="D375" s="7"/>
      <c r="E375" s="5"/>
      <c r="F375" s="8"/>
      <c r="G375" s="9" t="str">
        <f aca="false">IF(C375="","",","&amp;SUBSTITUTE(SUBSTITUTE(SUBSTITUTE(SUBSTITUTE(SUBSTITUTE(SUBSTITUTE(TRIM(C375)," y ",","),"y",",")," ",","),".",","),"/",","),"-",",")&amp;",")</f>
        <v/>
      </c>
    </row>
    <row r="376" customFormat="false" ht="15" hidden="false" customHeight="false" outlineLevel="0" collapsed="false">
      <c r="A376" s="5"/>
      <c r="B376" s="5"/>
      <c r="C376" s="6"/>
      <c r="D376" s="7"/>
      <c r="E376" s="5"/>
      <c r="F376" s="8"/>
      <c r="G376" s="9" t="str">
        <f aca="false">IF(C376="","",","&amp;SUBSTITUTE(SUBSTITUTE(SUBSTITUTE(SUBSTITUTE(SUBSTITUTE(SUBSTITUTE(TRIM(C376)," y ",","),"y",",")," ",","),".",","),"/",","),"-",",")&amp;",")</f>
        <v/>
      </c>
    </row>
    <row r="377" customFormat="false" ht="15" hidden="false" customHeight="false" outlineLevel="0" collapsed="false">
      <c r="A377" s="5"/>
      <c r="B377" s="5"/>
      <c r="C377" s="6"/>
      <c r="D377" s="7"/>
      <c r="E377" s="5"/>
      <c r="F377" s="8"/>
      <c r="G377" s="9" t="str">
        <f aca="false">IF(C377="","",","&amp;SUBSTITUTE(SUBSTITUTE(SUBSTITUTE(SUBSTITUTE(SUBSTITUTE(SUBSTITUTE(TRIM(C377)," y ",","),"y",",")," ",","),".",","),"/",","),"-",",")&amp;",")</f>
        <v/>
      </c>
    </row>
    <row r="378" customFormat="false" ht="15" hidden="false" customHeight="false" outlineLevel="0" collapsed="false">
      <c r="A378" s="5"/>
      <c r="B378" s="5"/>
      <c r="C378" s="6"/>
      <c r="D378" s="7"/>
      <c r="E378" s="5"/>
      <c r="F378" s="8"/>
      <c r="G378" s="9" t="str">
        <f aca="false">IF(C378="","",","&amp;SUBSTITUTE(SUBSTITUTE(SUBSTITUTE(SUBSTITUTE(SUBSTITUTE(SUBSTITUTE(TRIM(C378)," y ",","),"y",",")," ",","),".",","),"/",","),"-",",")&amp;",")</f>
        <v/>
      </c>
    </row>
    <row r="379" customFormat="false" ht="15" hidden="false" customHeight="false" outlineLevel="0" collapsed="false">
      <c r="A379" s="5"/>
      <c r="B379" s="5"/>
      <c r="C379" s="6"/>
      <c r="D379" s="7"/>
      <c r="E379" s="5"/>
      <c r="F379" s="8"/>
      <c r="G379" s="9" t="str">
        <f aca="false">IF(C379="","",","&amp;SUBSTITUTE(SUBSTITUTE(SUBSTITUTE(SUBSTITUTE(SUBSTITUTE(SUBSTITUTE(TRIM(C379)," y ",","),"y",",")," ",","),".",","),"/",","),"-",",")&amp;",")</f>
        <v/>
      </c>
    </row>
    <row r="380" customFormat="false" ht="15" hidden="false" customHeight="false" outlineLevel="0" collapsed="false">
      <c r="A380" s="5"/>
      <c r="B380" s="5"/>
      <c r="C380" s="6"/>
      <c r="D380" s="7"/>
      <c r="E380" s="5"/>
      <c r="F380" s="8"/>
      <c r="G380" s="9" t="str">
        <f aca="false">IF(C380="","",","&amp;SUBSTITUTE(SUBSTITUTE(SUBSTITUTE(SUBSTITUTE(SUBSTITUTE(SUBSTITUTE(TRIM(C380)," y ",","),"y",",")," ",","),".",","),"/",","),"-",",")&amp;",")</f>
        <v/>
      </c>
    </row>
    <row r="381" customFormat="false" ht="15" hidden="false" customHeight="false" outlineLevel="0" collapsed="false">
      <c r="A381" s="5"/>
      <c r="B381" s="5"/>
      <c r="C381" s="6"/>
      <c r="D381" s="7"/>
      <c r="E381" s="5"/>
      <c r="F381" s="8"/>
      <c r="G381" s="9" t="str">
        <f aca="false">IF(C381="","",","&amp;SUBSTITUTE(SUBSTITUTE(SUBSTITUTE(SUBSTITUTE(SUBSTITUTE(SUBSTITUTE(TRIM(C381)," y ",","),"y",",")," ",","),".",","),"/",","),"-",",")&amp;",")</f>
        <v/>
      </c>
    </row>
    <row r="382" customFormat="false" ht="15" hidden="false" customHeight="false" outlineLevel="0" collapsed="false">
      <c r="A382" s="5"/>
      <c r="B382" s="5"/>
      <c r="C382" s="6"/>
      <c r="D382" s="7"/>
      <c r="E382" s="5"/>
      <c r="F382" s="8"/>
      <c r="G382" s="9" t="str">
        <f aca="false">IF(C382="","",","&amp;SUBSTITUTE(SUBSTITUTE(SUBSTITUTE(SUBSTITUTE(SUBSTITUTE(SUBSTITUTE(TRIM(C382)," y ",","),"y",",")," ",","),".",","),"/",","),"-",",")&amp;",")</f>
        <v/>
      </c>
    </row>
    <row r="383" customFormat="false" ht="15" hidden="false" customHeight="false" outlineLevel="0" collapsed="false">
      <c r="A383" s="5"/>
      <c r="B383" s="5"/>
      <c r="C383" s="6"/>
      <c r="D383" s="7"/>
      <c r="E383" s="5"/>
      <c r="F383" s="8"/>
      <c r="G383" s="9" t="str">
        <f aca="false">IF(C383="","",","&amp;SUBSTITUTE(SUBSTITUTE(SUBSTITUTE(SUBSTITUTE(SUBSTITUTE(SUBSTITUTE(TRIM(C383)," y ",","),"y",",")," ",","),".",","),"/",","),"-",",")&amp;",")</f>
        <v/>
      </c>
    </row>
    <row r="384" customFormat="false" ht="15" hidden="false" customHeight="false" outlineLevel="0" collapsed="false">
      <c r="A384" s="5"/>
      <c r="B384" s="5"/>
      <c r="C384" s="6"/>
      <c r="D384" s="7"/>
      <c r="E384" s="5"/>
      <c r="F384" s="8"/>
      <c r="G384" s="9" t="str">
        <f aca="false">IF(C384="","",","&amp;SUBSTITUTE(SUBSTITUTE(SUBSTITUTE(SUBSTITUTE(SUBSTITUTE(SUBSTITUTE(TRIM(C384)," y ",","),"y",",")," ",","),".",","),"/",","),"-",",")&amp;",")</f>
        <v/>
      </c>
    </row>
    <row r="385" customFormat="false" ht="15" hidden="false" customHeight="false" outlineLevel="0" collapsed="false">
      <c r="A385" s="5"/>
      <c r="B385" s="5"/>
      <c r="C385" s="6"/>
      <c r="D385" s="7"/>
      <c r="E385" s="5"/>
      <c r="F385" s="8"/>
      <c r="G385" s="9" t="str">
        <f aca="false">IF(C385="","",","&amp;SUBSTITUTE(SUBSTITUTE(SUBSTITUTE(SUBSTITUTE(SUBSTITUTE(SUBSTITUTE(TRIM(C385)," y ",","),"y",",")," ",","),".",","),"/",","),"-",",")&amp;",")</f>
        <v/>
      </c>
    </row>
    <row r="386" customFormat="false" ht="15" hidden="false" customHeight="false" outlineLevel="0" collapsed="false">
      <c r="A386" s="5"/>
      <c r="B386" s="5"/>
      <c r="C386" s="6"/>
      <c r="D386" s="7"/>
      <c r="E386" s="5"/>
      <c r="F386" s="8"/>
      <c r="G386" s="9" t="str">
        <f aca="false">IF(C386="","",","&amp;SUBSTITUTE(SUBSTITUTE(SUBSTITUTE(SUBSTITUTE(SUBSTITUTE(SUBSTITUTE(TRIM(C386)," y ",","),"y",",")," ",","),".",","),"/",","),"-",",")&amp;",")</f>
        <v/>
      </c>
    </row>
    <row r="387" customFormat="false" ht="15" hidden="false" customHeight="false" outlineLevel="0" collapsed="false">
      <c r="A387" s="5"/>
      <c r="B387" s="5"/>
      <c r="C387" s="6"/>
      <c r="D387" s="7"/>
      <c r="E387" s="5"/>
      <c r="F387" s="8"/>
      <c r="G387" s="9" t="str">
        <f aca="false">IF(C387="","",","&amp;SUBSTITUTE(SUBSTITUTE(SUBSTITUTE(SUBSTITUTE(SUBSTITUTE(SUBSTITUTE(TRIM(C387)," y ",","),"y",",")," ",","),".",","),"/",","),"-",",")&amp;",")</f>
        <v/>
      </c>
    </row>
    <row r="388" customFormat="false" ht="15" hidden="false" customHeight="false" outlineLevel="0" collapsed="false">
      <c r="A388" s="5"/>
      <c r="B388" s="5"/>
      <c r="C388" s="6"/>
      <c r="D388" s="7"/>
      <c r="E388" s="5"/>
      <c r="F388" s="8"/>
      <c r="G388" s="9" t="str">
        <f aca="false">IF(C388="","",","&amp;SUBSTITUTE(SUBSTITUTE(SUBSTITUTE(SUBSTITUTE(SUBSTITUTE(SUBSTITUTE(TRIM(C388)," y ",","),"y",",")," ",","),".",","),"/",","),"-",",")&amp;",")</f>
        <v/>
      </c>
    </row>
    <row r="389" customFormat="false" ht="15" hidden="false" customHeight="false" outlineLevel="0" collapsed="false">
      <c r="A389" s="5"/>
      <c r="B389" s="5"/>
      <c r="C389" s="6"/>
      <c r="D389" s="7"/>
      <c r="E389" s="5"/>
      <c r="F389" s="8"/>
      <c r="G389" s="9" t="str">
        <f aca="false">IF(C389="","",","&amp;SUBSTITUTE(SUBSTITUTE(SUBSTITUTE(SUBSTITUTE(SUBSTITUTE(SUBSTITUTE(TRIM(C389)," y ",","),"y",",")," ",","),".",","),"/",","),"-",",")&amp;",")</f>
        <v/>
      </c>
    </row>
    <row r="390" customFormat="false" ht="15" hidden="false" customHeight="false" outlineLevel="0" collapsed="false">
      <c r="A390" s="5"/>
      <c r="B390" s="5"/>
      <c r="C390" s="6"/>
      <c r="D390" s="7"/>
      <c r="E390" s="5"/>
      <c r="F390" s="8"/>
      <c r="G390" s="9" t="str">
        <f aca="false">IF(C390="","",","&amp;SUBSTITUTE(SUBSTITUTE(SUBSTITUTE(SUBSTITUTE(SUBSTITUTE(SUBSTITUTE(TRIM(C390)," y ",","),"y",",")," ",","),".",","),"/",","),"-",",")&amp;",")</f>
        <v/>
      </c>
    </row>
    <row r="391" customFormat="false" ht="15" hidden="false" customHeight="false" outlineLevel="0" collapsed="false">
      <c r="A391" s="5"/>
      <c r="B391" s="5"/>
      <c r="C391" s="6"/>
      <c r="D391" s="7"/>
      <c r="E391" s="5"/>
      <c r="F391" s="8"/>
      <c r="G391" s="9" t="str">
        <f aca="false">IF(C391="","",","&amp;SUBSTITUTE(SUBSTITUTE(SUBSTITUTE(SUBSTITUTE(SUBSTITUTE(SUBSTITUTE(TRIM(C391)," y ",","),"y",",")," ",","),".",","),"/",","),"-",",")&amp;",")</f>
        <v/>
      </c>
    </row>
    <row r="392" customFormat="false" ht="15" hidden="false" customHeight="false" outlineLevel="0" collapsed="false">
      <c r="A392" s="5"/>
      <c r="B392" s="5"/>
      <c r="C392" s="6"/>
      <c r="D392" s="7"/>
      <c r="E392" s="5"/>
      <c r="F392" s="8"/>
      <c r="G392" s="9" t="str">
        <f aca="false">IF(C392="","",","&amp;SUBSTITUTE(SUBSTITUTE(SUBSTITUTE(SUBSTITUTE(SUBSTITUTE(SUBSTITUTE(TRIM(C392)," y ",","),"y",",")," ",","),".",","),"/",","),"-",",")&amp;",")</f>
        <v/>
      </c>
    </row>
    <row r="393" customFormat="false" ht="15" hidden="false" customHeight="false" outlineLevel="0" collapsed="false">
      <c r="A393" s="5"/>
      <c r="B393" s="5"/>
      <c r="C393" s="6"/>
      <c r="D393" s="7"/>
      <c r="E393" s="5"/>
      <c r="F393" s="8"/>
      <c r="G393" s="9" t="str">
        <f aca="false">IF(C393="","",","&amp;SUBSTITUTE(SUBSTITUTE(SUBSTITUTE(SUBSTITUTE(SUBSTITUTE(SUBSTITUTE(TRIM(C393)," y ",","),"y",",")," ",","),".",","),"/",","),"-",",")&amp;",")</f>
        <v/>
      </c>
    </row>
    <row r="394" customFormat="false" ht="15" hidden="false" customHeight="false" outlineLevel="0" collapsed="false">
      <c r="A394" s="5"/>
      <c r="B394" s="5"/>
      <c r="C394" s="6"/>
      <c r="D394" s="7"/>
      <c r="E394" s="5"/>
      <c r="F394" s="8"/>
      <c r="G394" s="9" t="str">
        <f aca="false">IF(C394="","",","&amp;SUBSTITUTE(SUBSTITUTE(SUBSTITUTE(SUBSTITUTE(SUBSTITUTE(SUBSTITUTE(TRIM(C394)," y ",","),"y",",")," ",","),".",","),"/",","),"-",",")&amp;",")</f>
        <v/>
      </c>
    </row>
    <row r="395" customFormat="false" ht="15" hidden="false" customHeight="false" outlineLevel="0" collapsed="false">
      <c r="A395" s="5"/>
      <c r="B395" s="5"/>
      <c r="C395" s="6"/>
      <c r="D395" s="7"/>
      <c r="E395" s="5"/>
      <c r="F395" s="8"/>
      <c r="G395" s="9" t="str">
        <f aca="false">IF(C395="","",","&amp;SUBSTITUTE(SUBSTITUTE(SUBSTITUTE(SUBSTITUTE(SUBSTITUTE(SUBSTITUTE(TRIM(C395)," y ",","),"y",",")," ",","),".",","),"/",","),"-",",")&amp;",")</f>
        <v/>
      </c>
    </row>
    <row r="396" customFormat="false" ht="15" hidden="false" customHeight="false" outlineLevel="0" collapsed="false">
      <c r="A396" s="5"/>
      <c r="B396" s="5"/>
      <c r="C396" s="6"/>
      <c r="D396" s="7"/>
      <c r="E396" s="5"/>
      <c r="F396" s="8"/>
      <c r="G396" s="9" t="str">
        <f aca="false">IF(C396="","",","&amp;SUBSTITUTE(SUBSTITUTE(SUBSTITUTE(SUBSTITUTE(SUBSTITUTE(SUBSTITUTE(TRIM(C396)," y ",","),"y",",")," ",","),".",","),"/",","),"-",",")&amp;",")</f>
        <v/>
      </c>
    </row>
    <row r="397" customFormat="false" ht="15" hidden="false" customHeight="false" outlineLevel="0" collapsed="false">
      <c r="A397" s="5"/>
      <c r="B397" s="5"/>
      <c r="C397" s="6"/>
      <c r="D397" s="7"/>
      <c r="E397" s="5"/>
      <c r="F397" s="8"/>
      <c r="G397" s="9" t="str">
        <f aca="false">IF(C397="","",","&amp;SUBSTITUTE(SUBSTITUTE(SUBSTITUTE(SUBSTITUTE(SUBSTITUTE(SUBSTITUTE(TRIM(C397)," y ",","),"y",",")," ",","),".",","),"/",","),"-",",")&amp;",")</f>
        <v/>
      </c>
    </row>
    <row r="398" customFormat="false" ht="15" hidden="false" customHeight="false" outlineLevel="0" collapsed="false">
      <c r="A398" s="5"/>
      <c r="B398" s="5"/>
      <c r="C398" s="6"/>
      <c r="D398" s="7"/>
      <c r="E398" s="5"/>
      <c r="F398" s="8"/>
      <c r="G398" s="9" t="str">
        <f aca="false">IF(C398="","",","&amp;SUBSTITUTE(SUBSTITUTE(SUBSTITUTE(SUBSTITUTE(SUBSTITUTE(SUBSTITUTE(TRIM(C398)," y ",","),"y",",")," ",","),".",","),"/",","),"-",",")&amp;",")</f>
        <v/>
      </c>
    </row>
    <row r="399" customFormat="false" ht="15" hidden="false" customHeight="false" outlineLevel="0" collapsed="false">
      <c r="A399" s="5"/>
      <c r="B399" s="5"/>
      <c r="C399" s="6"/>
      <c r="D399" s="7"/>
      <c r="E399" s="5"/>
      <c r="F399" s="8"/>
      <c r="G399" s="9" t="str">
        <f aca="false">IF(C399="","",","&amp;SUBSTITUTE(SUBSTITUTE(SUBSTITUTE(SUBSTITUTE(SUBSTITUTE(SUBSTITUTE(TRIM(C399)," y ",","),"y",",")," ",","),".",","),"/",","),"-",",")&amp;",")</f>
        <v/>
      </c>
    </row>
    <row r="400" customFormat="false" ht="15" hidden="false" customHeight="false" outlineLevel="0" collapsed="false">
      <c r="A400" s="5"/>
      <c r="B400" s="5"/>
      <c r="C400" s="6"/>
      <c r="D400" s="7"/>
      <c r="E400" s="5"/>
      <c r="F400" s="8"/>
      <c r="G400" s="9" t="str">
        <f aca="false">IF(C400="","",","&amp;SUBSTITUTE(SUBSTITUTE(SUBSTITUTE(SUBSTITUTE(SUBSTITUTE(SUBSTITUTE(TRIM(C400)," y ",","),"y",",")," ",","),".",","),"/",","),"-",",")&amp;",")</f>
        <v/>
      </c>
    </row>
    <row r="401" customFormat="false" ht="15" hidden="false" customHeight="false" outlineLevel="0" collapsed="false">
      <c r="A401" s="5"/>
      <c r="B401" s="5"/>
      <c r="C401" s="6"/>
      <c r="D401" s="7"/>
      <c r="E401" s="5"/>
      <c r="F401" s="8"/>
      <c r="G401" s="9" t="str">
        <f aca="false">IF(C401="","",","&amp;SUBSTITUTE(SUBSTITUTE(SUBSTITUTE(SUBSTITUTE(SUBSTITUTE(SUBSTITUTE(TRIM(C401)," y ",","),"y",",")," ",","),".",","),"/",","),"-",",")&amp;",")</f>
        <v/>
      </c>
    </row>
    <row r="402" customFormat="false" ht="15" hidden="false" customHeight="false" outlineLevel="0" collapsed="false">
      <c r="A402" s="5"/>
      <c r="B402" s="5"/>
      <c r="C402" s="6"/>
      <c r="D402" s="7"/>
      <c r="E402" s="5"/>
      <c r="F402" s="8"/>
      <c r="G402" s="9" t="str">
        <f aca="false">IF(C402="","",","&amp;SUBSTITUTE(SUBSTITUTE(SUBSTITUTE(SUBSTITUTE(SUBSTITUTE(SUBSTITUTE(TRIM(C402)," y ",","),"y",",")," ",","),".",","),"/",","),"-",",")&amp;",")</f>
        <v/>
      </c>
    </row>
    <row r="403" customFormat="false" ht="15" hidden="false" customHeight="false" outlineLevel="0" collapsed="false">
      <c r="A403" s="5"/>
      <c r="B403" s="5"/>
      <c r="C403" s="6"/>
      <c r="D403" s="7"/>
      <c r="E403" s="5"/>
      <c r="F403" s="8"/>
      <c r="G403" s="9" t="str">
        <f aca="false">IF(C403="","",","&amp;SUBSTITUTE(SUBSTITUTE(SUBSTITUTE(SUBSTITUTE(SUBSTITUTE(SUBSTITUTE(TRIM(C403)," y ",","),"y",",")," ",","),".",","),"/",","),"-",",")&amp;",")</f>
        <v/>
      </c>
    </row>
    <row r="404" customFormat="false" ht="15" hidden="false" customHeight="false" outlineLevel="0" collapsed="false">
      <c r="A404" s="5"/>
      <c r="B404" s="5"/>
      <c r="C404" s="6"/>
      <c r="D404" s="7"/>
      <c r="E404" s="5"/>
      <c r="F404" s="8"/>
      <c r="G404" s="9" t="str">
        <f aca="false">IF(C404="","",","&amp;SUBSTITUTE(SUBSTITUTE(SUBSTITUTE(SUBSTITUTE(SUBSTITUTE(SUBSTITUTE(TRIM(C404)," y ",","),"y",",")," ",","),".",","),"/",","),"-",",")&amp;",")</f>
        <v/>
      </c>
    </row>
    <row r="405" customFormat="false" ht="15" hidden="false" customHeight="false" outlineLevel="0" collapsed="false">
      <c r="A405" s="5"/>
      <c r="B405" s="5"/>
      <c r="C405" s="6"/>
      <c r="D405" s="7"/>
      <c r="E405" s="5"/>
      <c r="F405" s="8"/>
      <c r="G405" s="9" t="str">
        <f aca="false">IF(C405="","",","&amp;SUBSTITUTE(SUBSTITUTE(SUBSTITUTE(SUBSTITUTE(SUBSTITUTE(SUBSTITUTE(TRIM(C405)," y ",","),"y",",")," ",","),".",","),"/",","),"-",",")&amp;",")</f>
        <v/>
      </c>
    </row>
    <row r="406" customFormat="false" ht="15" hidden="false" customHeight="false" outlineLevel="0" collapsed="false">
      <c r="A406" s="5"/>
      <c r="B406" s="5"/>
      <c r="C406" s="6"/>
      <c r="D406" s="7"/>
      <c r="E406" s="5"/>
      <c r="F406" s="8"/>
      <c r="G406" s="9" t="str">
        <f aca="false">IF(C406="","",","&amp;SUBSTITUTE(SUBSTITUTE(SUBSTITUTE(SUBSTITUTE(SUBSTITUTE(SUBSTITUTE(TRIM(C406)," y ",","),"y",",")," ",","),".",","),"/",","),"-",",")&amp;",")</f>
        <v/>
      </c>
    </row>
    <row r="407" customFormat="false" ht="15" hidden="false" customHeight="false" outlineLevel="0" collapsed="false">
      <c r="A407" s="5"/>
      <c r="B407" s="5"/>
      <c r="C407" s="6"/>
      <c r="D407" s="7"/>
      <c r="E407" s="5"/>
      <c r="F407" s="8"/>
      <c r="G407" s="9" t="str">
        <f aca="false">IF(C407="","",","&amp;SUBSTITUTE(SUBSTITUTE(SUBSTITUTE(SUBSTITUTE(SUBSTITUTE(SUBSTITUTE(TRIM(C407)," y ",","),"y",",")," ",","),".",","),"/",","),"-",",")&amp;",")</f>
        <v/>
      </c>
    </row>
    <row r="408" customFormat="false" ht="15" hidden="false" customHeight="false" outlineLevel="0" collapsed="false">
      <c r="A408" s="5"/>
      <c r="B408" s="5"/>
      <c r="C408" s="6"/>
      <c r="D408" s="7"/>
      <c r="E408" s="5"/>
      <c r="F408" s="8"/>
      <c r="G408" s="9" t="str">
        <f aca="false">IF(C408="","",","&amp;SUBSTITUTE(SUBSTITUTE(SUBSTITUTE(SUBSTITUTE(SUBSTITUTE(SUBSTITUTE(TRIM(C408)," y ",","),"y",",")," ",","),".",","),"/",","),"-",",")&amp;",")</f>
        <v/>
      </c>
    </row>
    <row r="409" customFormat="false" ht="15" hidden="false" customHeight="false" outlineLevel="0" collapsed="false">
      <c r="A409" s="5"/>
      <c r="B409" s="5"/>
      <c r="C409" s="6"/>
      <c r="D409" s="7"/>
      <c r="E409" s="5"/>
      <c r="F409" s="8"/>
      <c r="G409" s="9" t="str">
        <f aca="false">IF(C409="","",","&amp;SUBSTITUTE(SUBSTITUTE(SUBSTITUTE(SUBSTITUTE(SUBSTITUTE(SUBSTITUTE(TRIM(C409)," y ",","),"y",",")," ",","),".",","),"/",","),"-",",")&amp;",")</f>
        <v/>
      </c>
    </row>
    <row r="410" customFormat="false" ht="15" hidden="false" customHeight="false" outlineLevel="0" collapsed="false">
      <c r="A410" s="5"/>
      <c r="B410" s="5"/>
      <c r="C410" s="6"/>
      <c r="D410" s="7"/>
      <c r="E410" s="5"/>
      <c r="F410" s="8"/>
      <c r="G410" s="9" t="str">
        <f aca="false">IF(C410="","",","&amp;SUBSTITUTE(SUBSTITUTE(SUBSTITUTE(SUBSTITUTE(SUBSTITUTE(SUBSTITUTE(TRIM(C410)," y ",","),"y",",")," ",","),".",","),"/",","),"-",",")&amp;",")</f>
        <v/>
      </c>
    </row>
    <row r="411" customFormat="false" ht="15" hidden="false" customHeight="false" outlineLevel="0" collapsed="false">
      <c r="A411" s="5"/>
      <c r="B411" s="5"/>
      <c r="C411" s="6"/>
      <c r="D411" s="7"/>
      <c r="E411" s="5"/>
      <c r="F411" s="8"/>
      <c r="G411" s="9" t="str">
        <f aca="false">IF(C411="","",","&amp;SUBSTITUTE(SUBSTITUTE(SUBSTITUTE(SUBSTITUTE(SUBSTITUTE(SUBSTITUTE(TRIM(C411)," y ",","),"y",",")," ",","),".",","),"/",","),"-",",")&amp;",")</f>
        <v/>
      </c>
    </row>
    <row r="412" customFormat="false" ht="15" hidden="false" customHeight="false" outlineLevel="0" collapsed="false">
      <c r="A412" s="5"/>
      <c r="B412" s="5"/>
      <c r="C412" s="6"/>
      <c r="D412" s="7"/>
      <c r="E412" s="5"/>
      <c r="F412" s="8"/>
      <c r="G412" s="9" t="str">
        <f aca="false">IF(C412="","",","&amp;SUBSTITUTE(SUBSTITUTE(SUBSTITUTE(SUBSTITUTE(SUBSTITUTE(SUBSTITUTE(TRIM(C412)," y ",","),"y",",")," ",","),".",","),"/",","),"-",",")&amp;",")</f>
        <v/>
      </c>
    </row>
    <row r="413" customFormat="false" ht="15" hidden="false" customHeight="false" outlineLevel="0" collapsed="false">
      <c r="A413" s="5"/>
      <c r="B413" s="5"/>
      <c r="C413" s="6"/>
      <c r="D413" s="7"/>
      <c r="E413" s="5"/>
      <c r="F413" s="8"/>
      <c r="G413" s="9" t="str">
        <f aca="false">IF(C413="","",","&amp;SUBSTITUTE(SUBSTITUTE(SUBSTITUTE(SUBSTITUTE(SUBSTITUTE(SUBSTITUTE(TRIM(C413)," y ",","),"y",",")," ",","),".",","),"/",","),"-",",")&amp;",")</f>
        <v/>
      </c>
    </row>
    <row r="414" customFormat="false" ht="15" hidden="false" customHeight="false" outlineLevel="0" collapsed="false">
      <c r="A414" s="5"/>
      <c r="B414" s="5"/>
      <c r="C414" s="6"/>
      <c r="D414" s="7"/>
      <c r="E414" s="5"/>
      <c r="F414" s="8"/>
      <c r="G414" s="9" t="str">
        <f aca="false">IF(C414="","",","&amp;SUBSTITUTE(SUBSTITUTE(SUBSTITUTE(SUBSTITUTE(SUBSTITUTE(SUBSTITUTE(TRIM(C414)," y ",","),"y",",")," ",","),".",","),"/",","),"-",",")&amp;",")</f>
        <v/>
      </c>
    </row>
    <row r="415" customFormat="false" ht="15" hidden="false" customHeight="false" outlineLevel="0" collapsed="false">
      <c r="A415" s="5"/>
      <c r="B415" s="5"/>
      <c r="C415" s="6"/>
      <c r="D415" s="7"/>
      <c r="E415" s="5"/>
      <c r="F415" s="8"/>
      <c r="G415" s="9" t="str">
        <f aca="false">IF(C415="","",","&amp;SUBSTITUTE(SUBSTITUTE(SUBSTITUTE(SUBSTITUTE(SUBSTITUTE(SUBSTITUTE(TRIM(C415)," y ",","),"y",",")," ",","),".",","),"/",","),"-",",")&amp;",")</f>
        <v/>
      </c>
    </row>
    <row r="416" customFormat="false" ht="15" hidden="false" customHeight="false" outlineLevel="0" collapsed="false">
      <c r="A416" s="5"/>
      <c r="B416" s="5"/>
      <c r="C416" s="6"/>
      <c r="D416" s="7"/>
      <c r="E416" s="5"/>
      <c r="F416" s="8"/>
      <c r="G416" s="9" t="str">
        <f aca="false">IF(C416="","",","&amp;SUBSTITUTE(SUBSTITUTE(SUBSTITUTE(SUBSTITUTE(SUBSTITUTE(SUBSTITUTE(TRIM(C416)," y ",","),"y",",")," ",","),".",","),"/",","),"-",",")&amp;",")</f>
        <v/>
      </c>
    </row>
    <row r="417" customFormat="false" ht="15" hidden="false" customHeight="false" outlineLevel="0" collapsed="false">
      <c r="A417" s="5"/>
      <c r="B417" s="5"/>
      <c r="C417" s="6"/>
      <c r="D417" s="7"/>
      <c r="E417" s="5"/>
      <c r="F417" s="8"/>
      <c r="G417" s="9" t="str">
        <f aca="false">IF(C417="","",","&amp;SUBSTITUTE(SUBSTITUTE(SUBSTITUTE(SUBSTITUTE(SUBSTITUTE(SUBSTITUTE(TRIM(C417)," y ",","),"y",",")," ",","),".",","),"/",","),"-",",")&amp;",")</f>
        <v/>
      </c>
    </row>
    <row r="418" customFormat="false" ht="15" hidden="false" customHeight="false" outlineLevel="0" collapsed="false">
      <c r="A418" s="5"/>
      <c r="B418" s="5"/>
      <c r="C418" s="6"/>
      <c r="D418" s="7"/>
      <c r="E418" s="5"/>
      <c r="F418" s="8"/>
      <c r="G418" s="9" t="str">
        <f aca="false">IF(C418="","",","&amp;SUBSTITUTE(SUBSTITUTE(SUBSTITUTE(SUBSTITUTE(SUBSTITUTE(SUBSTITUTE(TRIM(C418)," y ",","),"y",",")," ",","),".",","),"/",","),"-",",")&amp;",")</f>
        <v/>
      </c>
    </row>
    <row r="419" customFormat="false" ht="15" hidden="false" customHeight="false" outlineLevel="0" collapsed="false">
      <c r="A419" s="5"/>
      <c r="B419" s="5"/>
      <c r="C419" s="6"/>
      <c r="D419" s="7"/>
      <c r="E419" s="5"/>
      <c r="F419" s="8"/>
      <c r="G419" s="9" t="str">
        <f aca="false">IF(C419="","",","&amp;SUBSTITUTE(SUBSTITUTE(SUBSTITUTE(SUBSTITUTE(SUBSTITUTE(SUBSTITUTE(TRIM(C419)," y ",","),"y",",")," ",","),".",","),"/",","),"-",",")&amp;",")</f>
        <v/>
      </c>
    </row>
    <row r="420" customFormat="false" ht="15" hidden="false" customHeight="false" outlineLevel="0" collapsed="false">
      <c r="A420" s="5"/>
      <c r="B420" s="5"/>
      <c r="C420" s="6"/>
      <c r="D420" s="7"/>
      <c r="E420" s="5"/>
      <c r="F420" s="8"/>
      <c r="G420" s="9" t="str">
        <f aca="false">IF(C420="","",","&amp;SUBSTITUTE(SUBSTITUTE(SUBSTITUTE(SUBSTITUTE(SUBSTITUTE(SUBSTITUTE(TRIM(C420)," y ",","),"y",",")," ",","),".",","),"/",","),"-",",")&amp;",")</f>
        <v/>
      </c>
    </row>
    <row r="421" customFormat="false" ht="15" hidden="false" customHeight="false" outlineLevel="0" collapsed="false">
      <c r="A421" s="5"/>
      <c r="B421" s="5"/>
      <c r="C421" s="6"/>
      <c r="D421" s="7"/>
      <c r="E421" s="5"/>
      <c r="F421" s="8"/>
      <c r="G421" s="9" t="str">
        <f aca="false">IF(C421="","",","&amp;SUBSTITUTE(SUBSTITUTE(SUBSTITUTE(SUBSTITUTE(SUBSTITUTE(SUBSTITUTE(TRIM(C421)," y ",","),"y",",")," ",","),".",","),"/",","),"-",",")&amp;",")</f>
        <v/>
      </c>
    </row>
    <row r="422" customFormat="false" ht="15" hidden="false" customHeight="false" outlineLevel="0" collapsed="false">
      <c r="A422" s="5"/>
      <c r="B422" s="5"/>
      <c r="C422" s="6"/>
      <c r="D422" s="7"/>
      <c r="E422" s="5"/>
      <c r="F422" s="8"/>
      <c r="G422" s="9" t="str">
        <f aca="false">IF(C422="","",","&amp;SUBSTITUTE(SUBSTITUTE(SUBSTITUTE(SUBSTITUTE(SUBSTITUTE(SUBSTITUTE(TRIM(C422)," y ",","),"y",",")," ",","),".",","),"/",","),"-",",")&amp;",")</f>
        <v/>
      </c>
    </row>
    <row r="423" customFormat="false" ht="15" hidden="false" customHeight="false" outlineLevel="0" collapsed="false">
      <c r="A423" s="5"/>
      <c r="B423" s="5"/>
      <c r="C423" s="6"/>
      <c r="D423" s="7"/>
      <c r="E423" s="5"/>
      <c r="F423" s="8"/>
      <c r="G423" s="9" t="str">
        <f aca="false">IF(C423="","",","&amp;SUBSTITUTE(SUBSTITUTE(SUBSTITUTE(SUBSTITUTE(SUBSTITUTE(SUBSTITUTE(TRIM(C423)," y ",","),"y",",")," ",","),".",","),"/",","),"-",",")&amp;",")</f>
        <v/>
      </c>
    </row>
    <row r="424" customFormat="false" ht="15" hidden="false" customHeight="false" outlineLevel="0" collapsed="false">
      <c r="A424" s="5"/>
      <c r="B424" s="5"/>
      <c r="C424" s="6"/>
      <c r="D424" s="7"/>
      <c r="E424" s="5"/>
      <c r="F424" s="8"/>
      <c r="G424" s="9" t="str">
        <f aca="false">IF(C424="","",","&amp;SUBSTITUTE(SUBSTITUTE(SUBSTITUTE(SUBSTITUTE(SUBSTITUTE(SUBSTITUTE(TRIM(C424)," y ",","),"y",",")," ",","),".",","),"/",","),"-",",")&amp;",")</f>
        <v/>
      </c>
    </row>
    <row r="425" customFormat="false" ht="15" hidden="false" customHeight="false" outlineLevel="0" collapsed="false">
      <c r="A425" s="5"/>
      <c r="B425" s="5"/>
      <c r="C425" s="6"/>
      <c r="D425" s="7"/>
      <c r="E425" s="5"/>
      <c r="F425" s="8"/>
      <c r="G425" s="9" t="str">
        <f aca="false">IF(C425="","",","&amp;SUBSTITUTE(SUBSTITUTE(SUBSTITUTE(SUBSTITUTE(SUBSTITUTE(SUBSTITUTE(TRIM(C425)," y ",","),"y",",")," ",","),".",","),"/",","),"-",",")&amp;",")</f>
        <v/>
      </c>
    </row>
    <row r="426" customFormat="false" ht="15" hidden="false" customHeight="false" outlineLevel="0" collapsed="false">
      <c r="A426" s="5"/>
      <c r="B426" s="5"/>
      <c r="C426" s="6"/>
      <c r="D426" s="7"/>
      <c r="E426" s="5"/>
      <c r="F426" s="8"/>
      <c r="G426" s="9" t="str">
        <f aca="false">IF(C426="","",","&amp;SUBSTITUTE(SUBSTITUTE(SUBSTITUTE(SUBSTITUTE(SUBSTITUTE(SUBSTITUTE(TRIM(C426)," y ",","),"y",",")," ",","),".",","),"/",","),"-",",")&amp;",")</f>
        <v/>
      </c>
    </row>
    <row r="427" customFormat="false" ht="15" hidden="false" customHeight="false" outlineLevel="0" collapsed="false">
      <c r="A427" s="5"/>
      <c r="B427" s="5"/>
      <c r="C427" s="6"/>
      <c r="D427" s="7"/>
      <c r="E427" s="5"/>
      <c r="F427" s="8"/>
      <c r="G427" s="9" t="str">
        <f aca="false">IF(C427="","",","&amp;SUBSTITUTE(SUBSTITUTE(SUBSTITUTE(SUBSTITUTE(SUBSTITUTE(SUBSTITUTE(TRIM(C427)," y ",","),"y",",")," ",","),".",","),"/",","),"-",",")&amp;",")</f>
        <v/>
      </c>
    </row>
    <row r="428" customFormat="false" ht="15" hidden="false" customHeight="false" outlineLevel="0" collapsed="false">
      <c r="A428" s="5"/>
      <c r="B428" s="5"/>
      <c r="C428" s="6"/>
      <c r="D428" s="7"/>
      <c r="E428" s="5"/>
      <c r="F428" s="8"/>
      <c r="G428" s="9" t="str">
        <f aca="false">IF(C428="","",","&amp;SUBSTITUTE(SUBSTITUTE(SUBSTITUTE(SUBSTITUTE(SUBSTITUTE(SUBSTITUTE(TRIM(C428)," y ",","),"y",",")," ",","),".",","),"/",","),"-",",")&amp;",")</f>
        <v/>
      </c>
    </row>
    <row r="429" customFormat="false" ht="15" hidden="false" customHeight="false" outlineLevel="0" collapsed="false">
      <c r="A429" s="5"/>
      <c r="B429" s="5"/>
      <c r="C429" s="6"/>
      <c r="D429" s="7"/>
      <c r="E429" s="5"/>
      <c r="F429" s="8"/>
      <c r="G429" s="9" t="str">
        <f aca="false">IF(C429="","",","&amp;SUBSTITUTE(SUBSTITUTE(SUBSTITUTE(SUBSTITUTE(SUBSTITUTE(SUBSTITUTE(TRIM(C429)," y ",","),"y",",")," ",","),".",","),"/",","),"-",",")&amp;",")</f>
        <v/>
      </c>
    </row>
    <row r="430" customFormat="false" ht="15" hidden="false" customHeight="false" outlineLevel="0" collapsed="false">
      <c r="A430" s="5"/>
      <c r="B430" s="5"/>
      <c r="C430" s="6"/>
      <c r="D430" s="7"/>
      <c r="E430" s="5"/>
      <c r="F430" s="8"/>
      <c r="G430" s="9" t="str">
        <f aca="false">IF(C430="","",","&amp;SUBSTITUTE(SUBSTITUTE(SUBSTITUTE(SUBSTITUTE(SUBSTITUTE(SUBSTITUTE(TRIM(C430)," y ",","),"y",",")," ",","),".",","),"/",","),"-",",")&amp;",")</f>
        <v/>
      </c>
    </row>
    <row r="431" customFormat="false" ht="15" hidden="false" customHeight="false" outlineLevel="0" collapsed="false">
      <c r="A431" s="5"/>
      <c r="B431" s="5"/>
      <c r="C431" s="6"/>
      <c r="D431" s="7"/>
      <c r="E431" s="5"/>
      <c r="F431" s="8"/>
      <c r="G431" s="9" t="str">
        <f aca="false">IF(C431="","",","&amp;SUBSTITUTE(SUBSTITUTE(SUBSTITUTE(SUBSTITUTE(SUBSTITUTE(SUBSTITUTE(TRIM(C431)," y ",","),"y",",")," ",","),".",","),"/",","),"-",",")&amp;",")</f>
        <v/>
      </c>
    </row>
    <row r="432" customFormat="false" ht="15" hidden="false" customHeight="false" outlineLevel="0" collapsed="false">
      <c r="A432" s="5"/>
      <c r="B432" s="5"/>
      <c r="C432" s="6"/>
      <c r="D432" s="7"/>
      <c r="E432" s="5"/>
      <c r="F432" s="8"/>
      <c r="G432" s="9" t="str">
        <f aca="false">IF(C432="","",","&amp;SUBSTITUTE(SUBSTITUTE(SUBSTITUTE(SUBSTITUTE(SUBSTITUTE(SUBSTITUTE(TRIM(C432)," y ",","),"y",",")," ",","),".",","),"/",","),"-",",")&amp;",")</f>
        <v/>
      </c>
    </row>
    <row r="433" customFormat="false" ht="15" hidden="false" customHeight="false" outlineLevel="0" collapsed="false">
      <c r="A433" s="5"/>
      <c r="B433" s="5"/>
      <c r="C433" s="6"/>
      <c r="D433" s="7"/>
      <c r="E433" s="5"/>
      <c r="F433" s="8"/>
      <c r="G433" s="9" t="str">
        <f aca="false">IF(C433="","",","&amp;SUBSTITUTE(SUBSTITUTE(SUBSTITUTE(SUBSTITUTE(SUBSTITUTE(SUBSTITUTE(TRIM(C433)," y ",","),"y",",")," ",","),".",","),"/",","),"-",",")&amp;",")</f>
        <v/>
      </c>
    </row>
    <row r="434" customFormat="false" ht="15" hidden="false" customHeight="false" outlineLevel="0" collapsed="false">
      <c r="A434" s="5"/>
      <c r="B434" s="5"/>
      <c r="C434" s="6"/>
      <c r="D434" s="7"/>
      <c r="E434" s="5"/>
      <c r="F434" s="8"/>
      <c r="G434" s="9" t="str">
        <f aca="false">IF(C434="","",","&amp;SUBSTITUTE(SUBSTITUTE(SUBSTITUTE(SUBSTITUTE(SUBSTITUTE(SUBSTITUTE(TRIM(C434)," y ",","),"y",",")," ",","),".",","),"/",","),"-",",")&amp;",")</f>
        <v/>
      </c>
    </row>
    <row r="435" customFormat="false" ht="15" hidden="false" customHeight="false" outlineLevel="0" collapsed="false">
      <c r="A435" s="5"/>
      <c r="B435" s="5"/>
      <c r="C435" s="6"/>
      <c r="D435" s="7"/>
      <c r="E435" s="5"/>
      <c r="F435" s="8"/>
      <c r="G435" s="9" t="str">
        <f aca="false">IF(C435="","",","&amp;SUBSTITUTE(SUBSTITUTE(SUBSTITUTE(SUBSTITUTE(SUBSTITUTE(SUBSTITUTE(TRIM(C435)," y ",","),"y",",")," ",","),".",","),"/",","),"-",",")&amp;",")</f>
        <v/>
      </c>
    </row>
    <row r="436" customFormat="false" ht="15" hidden="false" customHeight="false" outlineLevel="0" collapsed="false">
      <c r="A436" s="5"/>
      <c r="B436" s="5"/>
      <c r="C436" s="6"/>
      <c r="D436" s="7"/>
      <c r="E436" s="5"/>
      <c r="F436" s="8"/>
      <c r="G436" s="9" t="str">
        <f aca="false">IF(C436="","",","&amp;SUBSTITUTE(SUBSTITUTE(SUBSTITUTE(SUBSTITUTE(SUBSTITUTE(SUBSTITUTE(TRIM(C436)," y ",","),"y",",")," ",","),".",","),"/",","),"-",",")&amp;",")</f>
        <v/>
      </c>
    </row>
    <row r="437" customFormat="false" ht="15" hidden="false" customHeight="false" outlineLevel="0" collapsed="false">
      <c r="A437" s="5"/>
      <c r="B437" s="5"/>
      <c r="C437" s="6"/>
      <c r="D437" s="7"/>
      <c r="E437" s="5"/>
      <c r="F437" s="8"/>
      <c r="G437" s="9" t="str">
        <f aca="false">IF(C437="","",","&amp;SUBSTITUTE(SUBSTITUTE(SUBSTITUTE(SUBSTITUTE(SUBSTITUTE(SUBSTITUTE(TRIM(C437)," y ",","),"y",",")," ",","),".",","),"/",","),"-",",")&amp;",")</f>
        <v/>
      </c>
    </row>
    <row r="438" customFormat="false" ht="15" hidden="false" customHeight="false" outlineLevel="0" collapsed="false">
      <c r="A438" s="5"/>
      <c r="B438" s="5"/>
      <c r="C438" s="6"/>
      <c r="D438" s="7"/>
      <c r="E438" s="5"/>
      <c r="F438" s="8"/>
      <c r="G438" s="9" t="str">
        <f aca="false">IF(C438="","",","&amp;SUBSTITUTE(SUBSTITUTE(SUBSTITUTE(SUBSTITUTE(SUBSTITUTE(SUBSTITUTE(TRIM(C438)," y ",","),"y",",")," ",","),".",","),"/",","),"-",",")&amp;",")</f>
        <v/>
      </c>
    </row>
    <row r="439" customFormat="false" ht="15" hidden="false" customHeight="false" outlineLevel="0" collapsed="false">
      <c r="A439" s="5"/>
      <c r="B439" s="5"/>
      <c r="C439" s="6"/>
      <c r="D439" s="7"/>
      <c r="E439" s="5"/>
      <c r="F439" s="8"/>
      <c r="G439" s="9" t="str">
        <f aca="false">IF(C439="","",","&amp;SUBSTITUTE(SUBSTITUTE(SUBSTITUTE(SUBSTITUTE(SUBSTITUTE(SUBSTITUTE(TRIM(C439)," y ",","),"y",",")," ",","),".",","),"/",","),"-",",")&amp;",")</f>
        <v/>
      </c>
    </row>
    <row r="440" customFormat="false" ht="15" hidden="false" customHeight="false" outlineLevel="0" collapsed="false">
      <c r="A440" s="5"/>
      <c r="B440" s="5"/>
      <c r="C440" s="6"/>
      <c r="D440" s="7"/>
      <c r="E440" s="5"/>
      <c r="F440" s="8"/>
      <c r="G440" s="9" t="str">
        <f aca="false">IF(C440="","",","&amp;SUBSTITUTE(SUBSTITUTE(SUBSTITUTE(SUBSTITUTE(SUBSTITUTE(SUBSTITUTE(TRIM(C440)," y ",","),"y",",")," ",","),".",","),"/",","),"-",",")&amp;",")</f>
        <v/>
      </c>
    </row>
    <row r="441" customFormat="false" ht="15" hidden="false" customHeight="false" outlineLevel="0" collapsed="false">
      <c r="A441" s="5"/>
      <c r="B441" s="5"/>
      <c r="C441" s="6"/>
      <c r="D441" s="7"/>
      <c r="E441" s="5"/>
      <c r="F441" s="8"/>
      <c r="G441" s="9" t="str">
        <f aca="false">IF(C441="","",","&amp;SUBSTITUTE(SUBSTITUTE(SUBSTITUTE(SUBSTITUTE(SUBSTITUTE(SUBSTITUTE(TRIM(C441)," y ",","),"y",",")," ",","),".",","),"/",","),"-",",")&amp;",")</f>
        <v/>
      </c>
    </row>
    <row r="442" customFormat="false" ht="15" hidden="false" customHeight="false" outlineLevel="0" collapsed="false">
      <c r="A442" s="5"/>
      <c r="B442" s="5"/>
      <c r="C442" s="6"/>
      <c r="D442" s="7"/>
      <c r="E442" s="5"/>
      <c r="F442" s="8"/>
      <c r="G442" s="9" t="str">
        <f aca="false">IF(C442="","",","&amp;SUBSTITUTE(SUBSTITUTE(SUBSTITUTE(SUBSTITUTE(SUBSTITUTE(SUBSTITUTE(TRIM(C442)," y ",","),"y",",")," ",","),".",","),"/",","),"-",",")&amp;",")</f>
        <v/>
      </c>
    </row>
    <row r="443" customFormat="false" ht="15" hidden="false" customHeight="false" outlineLevel="0" collapsed="false">
      <c r="A443" s="5"/>
      <c r="B443" s="5"/>
      <c r="C443" s="6"/>
      <c r="D443" s="7"/>
      <c r="E443" s="5"/>
      <c r="F443" s="8"/>
      <c r="G443" s="9" t="str">
        <f aca="false">IF(C443="","",","&amp;SUBSTITUTE(SUBSTITUTE(SUBSTITUTE(SUBSTITUTE(SUBSTITUTE(SUBSTITUTE(TRIM(C443)," y ",","),"y",",")," ",","),".",","),"/",","),"-",",")&amp;",")</f>
        <v/>
      </c>
    </row>
    <row r="444" customFormat="false" ht="15" hidden="false" customHeight="false" outlineLevel="0" collapsed="false">
      <c r="A444" s="5"/>
      <c r="B444" s="5"/>
      <c r="C444" s="6"/>
      <c r="D444" s="7"/>
      <c r="E444" s="5"/>
      <c r="F444" s="8"/>
      <c r="G444" s="9" t="str">
        <f aca="false">IF(C444="","",","&amp;SUBSTITUTE(SUBSTITUTE(SUBSTITUTE(SUBSTITUTE(SUBSTITUTE(SUBSTITUTE(TRIM(C444)," y ",","),"y",",")," ",","),".",","),"/",","),"-",",")&amp;",")</f>
        <v/>
      </c>
    </row>
    <row r="445" customFormat="false" ht="15" hidden="false" customHeight="false" outlineLevel="0" collapsed="false">
      <c r="A445" s="5"/>
      <c r="B445" s="5"/>
      <c r="C445" s="6"/>
      <c r="D445" s="7"/>
      <c r="E445" s="5"/>
      <c r="F445" s="8"/>
      <c r="G445" s="9" t="str">
        <f aca="false">IF(C445="","",","&amp;SUBSTITUTE(SUBSTITUTE(SUBSTITUTE(SUBSTITUTE(SUBSTITUTE(SUBSTITUTE(TRIM(C445)," y ",","),"y",",")," ",","),".",","),"/",","),"-",",")&amp;",")</f>
        <v/>
      </c>
    </row>
    <row r="446" customFormat="false" ht="15" hidden="false" customHeight="false" outlineLevel="0" collapsed="false">
      <c r="A446" s="5"/>
      <c r="B446" s="5"/>
      <c r="C446" s="6"/>
      <c r="D446" s="7"/>
      <c r="E446" s="5"/>
      <c r="F446" s="8"/>
      <c r="G446" s="9" t="str">
        <f aca="false">IF(C446="","",","&amp;SUBSTITUTE(SUBSTITUTE(SUBSTITUTE(SUBSTITUTE(SUBSTITUTE(SUBSTITUTE(TRIM(C446)," y ",","),"y",",")," ",","),".",","),"/",","),"-",",")&amp;",")</f>
        <v/>
      </c>
    </row>
    <row r="447" customFormat="false" ht="15" hidden="false" customHeight="false" outlineLevel="0" collapsed="false">
      <c r="A447" s="5"/>
      <c r="B447" s="5"/>
      <c r="C447" s="6"/>
      <c r="D447" s="7"/>
      <c r="E447" s="5"/>
      <c r="F447" s="8"/>
      <c r="G447" s="9" t="str">
        <f aca="false">IF(C447="","",","&amp;SUBSTITUTE(SUBSTITUTE(SUBSTITUTE(SUBSTITUTE(SUBSTITUTE(SUBSTITUTE(TRIM(C447)," y ",","),"y",",")," ",","),".",","),"/",","),"-",",")&amp;",")</f>
        <v/>
      </c>
    </row>
    <row r="448" customFormat="false" ht="15" hidden="false" customHeight="false" outlineLevel="0" collapsed="false">
      <c r="A448" s="5"/>
      <c r="B448" s="5"/>
      <c r="C448" s="6"/>
      <c r="D448" s="7"/>
      <c r="E448" s="5"/>
      <c r="F448" s="8"/>
      <c r="G448" s="9" t="str">
        <f aca="false">IF(C448="","",","&amp;SUBSTITUTE(SUBSTITUTE(SUBSTITUTE(SUBSTITUTE(SUBSTITUTE(SUBSTITUTE(TRIM(C448)," y ",","),"y",",")," ",","),".",","),"/",","),"-",",")&amp;",")</f>
        <v/>
      </c>
    </row>
    <row r="449" customFormat="false" ht="15" hidden="false" customHeight="false" outlineLevel="0" collapsed="false">
      <c r="A449" s="5"/>
      <c r="B449" s="5"/>
      <c r="C449" s="6"/>
      <c r="D449" s="7"/>
      <c r="E449" s="5"/>
      <c r="F449" s="8"/>
      <c r="G449" s="9" t="str">
        <f aca="false">IF(C449="","",","&amp;SUBSTITUTE(SUBSTITUTE(SUBSTITUTE(SUBSTITUTE(SUBSTITUTE(SUBSTITUTE(TRIM(C449)," y ",","),"y",",")," ",","),".",","),"/",","),"-",",")&amp;",")</f>
        <v/>
      </c>
    </row>
    <row r="450" customFormat="false" ht="15" hidden="false" customHeight="false" outlineLevel="0" collapsed="false">
      <c r="A450" s="5"/>
      <c r="B450" s="5"/>
      <c r="C450" s="6"/>
      <c r="D450" s="7"/>
      <c r="E450" s="5"/>
      <c r="F450" s="8"/>
      <c r="G450" s="9" t="str">
        <f aca="false">IF(C450="","",","&amp;SUBSTITUTE(SUBSTITUTE(SUBSTITUTE(SUBSTITUTE(SUBSTITUTE(SUBSTITUTE(TRIM(C450)," y ",","),"y",",")," ",","),".",","),"/",","),"-",",")&amp;",")</f>
        <v/>
      </c>
    </row>
    <row r="451" customFormat="false" ht="15" hidden="false" customHeight="false" outlineLevel="0" collapsed="false">
      <c r="A451" s="5"/>
      <c r="B451" s="5"/>
      <c r="C451" s="6"/>
      <c r="D451" s="7"/>
      <c r="E451" s="5"/>
      <c r="F451" s="8"/>
      <c r="G451" s="9" t="str">
        <f aca="false">IF(C451="","",","&amp;SUBSTITUTE(SUBSTITUTE(SUBSTITUTE(SUBSTITUTE(SUBSTITUTE(SUBSTITUTE(TRIM(C451)," y ",","),"y",",")," ",","),".",","),"/",","),"-",",")&amp;",")</f>
        <v/>
      </c>
    </row>
    <row r="452" customFormat="false" ht="15" hidden="false" customHeight="false" outlineLevel="0" collapsed="false">
      <c r="A452" s="5"/>
      <c r="B452" s="5"/>
      <c r="C452" s="6"/>
      <c r="D452" s="7"/>
      <c r="E452" s="5"/>
      <c r="F452" s="8"/>
      <c r="G452" s="9" t="str">
        <f aca="false">IF(C452="","",","&amp;SUBSTITUTE(SUBSTITUTE(SUBSTITUTE(SUBSTITUTE(SUBSTITUTE(SUBSTITUTE(TRIM(C452)," y ",","),"y",",")," ",","),".",","),"/",","),"-",",")&amp;",")</f>
        <v/>
      </c>
    </row>
    <row r="453" customFormat="false" ht="15" hidden="false" customHeight="false" outlineLevel="0" collapsed="false">
      <c r="A453" s="5"/>
      <c r="B453" s="5"/>
      <c r="C453" s="6"/>
      <c r="D453" s="7"/>
      <c r="E453" s="5"/>
      <c r="F453" s="8"/>
      <c r="G453" s="9" t="str">
        <f aca="false">IF(C453="","",","&amp;SUBSTITUTE(SUBSTITUTE(SUBSTITUTE(SUBSTITUTE(SUBSTITUTE(SUBSTITUTE(TRIM(C453)," y ",","),"y",",")," ",","),".",","),"/",","),"-",",")&amp;",")</f>
        <v/>
      </c>
    </row>
    <row r="454" customFormat="false" ht="15" hidden="false" customHeight="false" outlineLevel="0" collapsed="false">
      <c r="A454" s="5"/>
      <c r="B454" s="5"/>
      <c r="C454" s="6"/>
      <c r="D454" s="7"/>
      <c r="E454" s="5"/>
      <c r="F454" s="8"/>
      <c r="G454" s="9" t="str">
        <f aca="false">IF(C454="","",","&amp;SUBSTITUTE(SUBSTITUTE(SUBSTITUTE(SUBSTITUTE(SUBSTITUTE(SUBSTITUTE(TRIM(C454)," y ",","),"y",",")," ",","),".",","),"/",","),"-",",")&amp;",")</f>
        <v/>
      </c>
    </row>
    <row r="455" customFormat="false" ht="15" hidden="false" customHeight="false" outlineLevel="0" collapsed="false">
      <c r="A455" s="5"/>
      <c r="B455" s="5"/>
      <c r="C455" s="6"/>
      <c r="D455" s="7"/>
      <c r="E455" s="5"/>
      <c r="F455" s="8"/>
      <c r="G455" s="9" t="str">
        <f aca="false">IF(C455="","",","&amp;SUBSTITUTE(SUBSTITUTE(SUBSTITUTE(SUBSTITUTE(SUBSTITUTE(SUBSTITUTE(TRIM(C455)," y ",","),"y",",")," ",","),".",","),"/",","),"-",",")&amp;",")</f>
        <v/>
      </c>
    </row>
    <row r="456" customFormat="false" ht="15" hidden="false" customHeight="false" outlineLevel="0" collapsed="false">
      <c r="A456" s="5"/>
      <c r="B456" s="5"/>
      <c r="C456" s="6"/>
      <c r="D456" s="7"/>
      <c r="E456" s="5"/>
      <c r="F456" s="8"/>
      <c r="G456" s="9" t="str">
        <f aca="false">IF(C456="","",","&amp;SUBSTITUTE(SUBSTITUTE(SUBSTITUTE(SUBSTITUTE(SUBSTITUTE(SUBSTITUTE(TRIM(C456)," y ",","),"y",",")," ",","),".",","),"/",","),"-",",")&amp;",")</f>
        <v/>
      </c>
    </row>
    <row r="457" customFormat="false" ht="15" hidden="false" customHeight="false" outlineLevel="0" collapsed="false">
      <c r="A457" s="5"/>
      <c r="B457" s="5"/>
      <c r="C457" s="6"/>
      <c r="D457" s="7"/>
      <c r="E457" s="5"/>
      <c r="F457" s="8"/>
      <c r="G457" s="9" t="str">
        <f aca="false">IF(C457="","",","&amp;SUBSTITUTE(SUBSTITUTE(SUBSTITUTE(SUBSTITUTE(SUBSTITUTE(SUBSTITUTE(TRIM(C457)," y ",","),"y",",")," ",","),".",","),"/",","),"-",",")&amp;",")</f>
        <v/>
      </c>
    </row>
    <row r="458" customFormat="false" ht="15" hidden="false" customHeight="false" outlineLevel="0" collapsed="false">
      <c r="A458" s="5"/>
      <c r="B458" s="5"/>
      <c r="C458" s="6"/>
      <c r="D458" s="7"/>
      <c r="E458" s="5"/>
      <c r="F458" s="8"/>
      <c r="G458" s="9" t="str">
        <f aca="false">IF(C458="","",","&amp;SUBSTITUTE(SUBSTITUTE(SUBSTITUTE(SUBSTITUTE(SUBSTITUTE(SUBSTITUTE(TRIM(C458)," y ",","),"y",",")," ",","),".",","),"/",","),"-",",")&amp;",")</f>
        <v/>
      </c>
    </row>
    <row r="459" customFormat="false" ht="15" hidden="false" customHeight="false" outlineLevel="0" collapsed="false">
      <c r="A459" s="5"/>
      <c r="B459" s="5"/>
      <c r="C459" s="6"/>
      <c r="D459" s="7"/>
      <c r="E459" s="5"/>
      <c r="F459" s="8"/>
      <c r="G459" s="9" t="str">
        <f aca="false">IF(C459="","",","&amp;SUBSTITUTE(SUBSTITUTE(SUBSTITUTE(SUBSTITUTE(SUBSTITUTE(SUBSTITUTE(TRIM(C459)," y ",","),"y",",")," ",","),".",","),"/",","),"-",",")&amp;",")</f>
        <v/>
      </c>
    </row>
    <row r="460" customFormat="false" ht="15" hidden="false" customHeight="false" outlineLevel="0" collapsed="false">
      <c r="A460" s="5"/>
      <c r="B460" s="5"/>
      <c r="C460" s="6"/>
      <c r="D460" s="7"/>
      <c r="E460" s="5"/>
      <c r="F460" s="8"/>
      <c r="G460" s="9" t="str">
        <f aca="false">IF(C460="","",","&amp;SUBSTITUTE(SUBSTITUTE(SUBSTITUTE(SUBSTITUTE(SUBSTITUTE(SUBSTITUTE(TRIM(C460)," y ",","),"y",",")," ",","),".",","),"/",","),"-",",")&amp;",")</f>
        <v/>
      </c>
    </row>
    <row r="461" customFormat="false" ht="15" hidden="false" customHeight="false" outlineLevel="0" collapsed="false">
      <c r="A461" s="5"/>
      <c r="B461" s="5"/>
      <c r="C461" s="6"/>
      <c r="D461" s="7"/>
      <c r="E461" s="5"/>
      <c r="F461" s="8"/>
      <c r="G461" s="9" t="str">
        <f aca="false">IF(C461="","",","&amp;SUBSTITUTE(SUBSTITUTE(SUBSTITUTE(SUBSTITUTE(SUBSTITUTE(SUBSTITUTE(TRIM(C461)," y ",","),"y",",")," ",","),".",","),"/",","),"-",",")&amp;",")</f>
        <v/>
      </c>
    </row>
    <row r="462" customFormat="false" ht="15" hidden="false" customHeight="false" outlineLevel="0" collapsed="false">
      <c r="A462" s="5"/>
      <c r="B462" s="5"/>
      <c r="C462" s="6"/>
      <c r="D462" s="7"/>
      <c r="E462" s="5"/>
      <c r="F462" s="8"/>
      <c r="G462" s="9" t="str">
        <f aca="false">IF(C462="","",","&amp;SUBSTITUTE(SUBSTITUTE(SUBSTITUTE(SUBSTITUTE(SUBSTITUTE(SUBSTITUTE(TRIM(C462)," y ",","),"y",",")," ",","),".",","),"/",","),"-",",")&amp;",")</f>
        <v/>
      </c>
    </row>
    <row r="463" customFormat="false" ht="15" hidden="false" customHeight="false" outlineLevel="0" collapsed="false">
      <c r="A463" s="5"/>
      <c r="B463" s="5"/>
      <c r="C463" s="6"/>
      <c r="D463" s="7"/>
      <c r="E463" s="5"/>
      <c r="F463" s="8"/>
      <c r="G463" s="9" t="str">
        <f aca="false">IF(C463="","",","&amp;SUBSTITUTE(SUBSTITUTE(SUBSTITUTE(SUBSTITUTE(SUBSTITUTE(SUBSTITUTE(TRIM(C463)," y ",","),"y",",")," ",","),".",","),"/",","),"-",",")&amp;",")</f>
        <v/>
      </c>
    </row>
    <row r="464" customFormat="false" ht="15" hidden="false" customHeight="false" outlineLevel="0" collapsed="false">
      <c r="A464" s="5"/>
      <c r="B464" s="5"/>
      <c r="C464" s="6"/>
      <c r="D464" s="7"/>
      <c r="E464" s="5"/>
      <c r="F464" s="8"/>
      <c r="G464" s="9" t="str">
        <f aca="false">IF(C464="","",","&amp;SUBSTITUTE(SUBSTITUTE(SUBSTITUTE(SUBSTITUTE(SUBSTITUTE(SUBSTITUTE(TRIM(C464)," y ",","),"y",",")," ",","),".",","),"/",","),"-",",")&amp;",")</f>
        <v/>
      </c>
    </row>
    <row r="465" customFormat="false" ht="15" hidden="false" customHeight="false" outlineLevel="0" collapsed="false">
      <c r="A465" s="5"/>
      <c r="B465" s="5"/>
      <c r="C465" s="6"/>
      <c r="D465" s="7"/>
      <c r="E465" s="5"/>
      <c r="F465" s="8"/>
      <c r="G465" s="9" t="str">
        <f aca="false">IF(C465="","",","&amp;SUBSTITUTE(SUBSTITUTE(SUBSTITUTE(SUBSTITUTE(SUBSTITUTE(SUBSTITUTE(TRIM(C465)," y ",","),"y",",")," ",","),".",","),"/",","),"-",",")&amp;",")</f>
        <v/>
      </c>
    </row>
    <row r="466" customFormat="false" ht="15" hidden="false" customHeight="false" outlineLevel="0" collapsed="false">
      <c r="A466" s="5"/>
      <c r="B466" s="5"/>
      <c r="C466" s="6"/>
      <c r="D466" s="7"/>
      <c r="E466" s="5"/>
      <c r="F466" s="8"/>
      <c r="G466" s="9" t="str">
        <f aca="false">IF(C466="","",","&amp;SUBSTITUTE(SUBSTITUTE(SUBSTITUTE(SUBSTITUTE(SUBSTITUTE(SUBSTITUTE(TRIM(C466)," y ",","),"y",",")," ",","),".",","),"/",","),"-",",")&amp;",")</f>
        <v/>
      </c>
    </row>
    <row r="467" customFormat="false" ht="15" hidden="false" customHeight="false" outlineLevel="0" collapsed="false">
      <c r="A467" s="5"/>
      <c r="B467" s="5"/>
      <c r="C467" s="6"/>
      <c r="D467" s="7"/>
      <c r="E467" s="5"/>
      <c r="F467" s="8"/>
      <c r="G467" s="9" t="str">
        <f aca="false">IF(C467="","",","&amp;SUBSTITUTE(SUBSTITUTE(SUBSTITUTE(SUBSTITUTE(SUBSTITUTE(SUBSTITUTE(TRIM(C467)," y ",","),"y",",")," ",","),".",","),"/",","),"-",",")&amp;",")</f>
        <v/>
      </c>
    </row>
    <row r="468" customFormat="false" ht="15" hidden="false" customHeight="false" outlineLevel="0" collapsed="false">
      <c r="A468" s="5"/>
      <c r="B468" s="5"/>
      <c r="C468" s="6"/>
      <c r="D468" s="7"/>
      <c r="E468" s="5"/>
      <c r="F468" s="8"/>
      <c r="G468" s="9" t="str">
        <f aca="false">IF(C468="","",","&amp;SUBSTITUTE(SUBSTITUTE(SUBSTITUTE(SUBSTITUTE(SUBSTITUTE(SUBSTITUTE(TRIM(C468)," y ",","),"y",",")," ",","),".",","),"/",","),"-",",")&amp;",")</f>
        <v/>
      </c>
    </row>
    <row r="469" customFormat="false" ht="15" hidden="false" customHeight="false" outlineLevel="0" collapsed="false">
      <c r="A469" s="5"/>
      <c r="B469" s="5"/>
      <c r="C469" s="6"/>
      <c r="D469" s="7"/>
      <c r="E469" s="5"/>
      <c r="F469" s="8"/>
      <c r="G469" s="9" t="str">
        <f aca="false">IF(C469="","",","&amp;SUBSTITUTE(SUBSTITUTE(SUBSTITUTE(SUBSTITUTE(SUBSTITUTE(SUBSTITUTE(TRIM(C469)," y ",","),"y",",")," ",","),".",","),"/",","),"-",",")&amp;",")</f>
        <v/>
      </c>
    </row>
    <row r="470" customFormat="false" ht="15" hidden="false" customHeight="false" outlineLevel="0" collapsed="false">
      <c r="A470" s="5"/>
      <c r="B470" s="5"/>
      <c r="C470" s="6"/>
      <c r="D470" s="7"/>
      <c r="E470" s="5"/>
      <c r="F470" s="8"/>
      <c r="G470" s="9" t="str">
        <f aca="false">IF(C470="","",","&amp;SUBSTITUTE(SUBSTITUTE(SUBSTITUTE(SUBSTITUTE(SUBSTITUTE(SUBSTITUTE(TRIM(C470)," y ",","),"y",",")," ",","),".",","),"/",","),"-",",")&amp;",")</f>
        <v/>
      </c>
    </row>
    <row r="471" customFormat="false" ht="15" hidden="false" customHeight="false" outlineLevel="0" collapsed="false">
      <c r="A471" s="5"/>
      <c r="B471" s="5"/>
      <c r="C471" s="6"/>
      <c r="D471" s="7"/>
      <c r="E471" s="5"/>
      <c r="F471" s="8"/>
      <c r="G471" s="9" t="str">
        <f aca="false">IF(C471="","",","&amp;SUBSTITUTE(SUBSTITUTE(SUBSTITUTE(SUBSTITUTE(SUBSTITUTE(SUBSTITUTE(TRIM(C471)," y ",","),"y",",")," ",","),".",","),"/",","),"-",",")&amp;",")</f>
        <v/>
      </c>
    </row>
    <row r="472" customFormat="false" ht="15" hidden="false" customHeight="false" outlineLevel="0" collapsed="false">
      <c r="A472" s="5"/>
      <c r="B472" s="5"/>
      <c r="C472" s="6"/>
      <c r="D472" s="7"/>
      <c r="E472" s="5"/>
      <c r="F472" s="8"/>
      <c r="G472" s="9" t="str">
        <f aca="false">IF(C472="","",","&amp;SUBSTITUTE(SUBSTITUTE(SUBSTITUTE(SUBSTITUTE(SUBSTITUTE(SUBSTITUTE(TRIM(C472)," y ",","),"y",",")," ",","),".",","),"/",","),"-",",")&amp;",")</f>
        <v/>
      </c>
    </row>
    <row r="473" customFormat="false" ht="15" hidden="false" customHeight="false" outlineLevel="0" collapsed="false">
      <c r="A473" s="5"/>
      <c r="B473" s="5"/>
      <c r="C473" s="6"/>
      <c r="D473" s="7"/>
      <c r="E473" s="5"/>
      <c r="F473" s="8"/>
      <c r="G473" s="9" t="str">
        <f aca="false">IF(C473="","",","&amp;SUBSTITUTE(SUBSTITUTE(SUBSTITUTE(SUBSTITUTE(SUBSTITUTE(SUBSTITUTE(TRIM(C473)," y ",","),"y",",")," ",","),".",","),"/",","),"-",",")&amp;",")</f>
        <v/>
      </c>
    </row>
    <row r="474" customFormat="false" ht="15" hidden="false" customHeight="false" outlineLevel="0" collapsed="false">
      <c r="A474" s="5"/>
      <c r="B474" s="5"/>
      <c r="C474" s="6"/>
      <c r="D474" s="7"/>
      <c r="E474" s="5"/>
      <c r="F474" s="8"/>
      <c r="G474" s="9" t="str">
        <f aca="false">IF(C474="","",","&amp;SUBSTITUTE(SUBSTITUTE(SUBSTITUTE(SUBSTITUTE(SUBSTITUTE(SUBSTITUTE(TRIM(C474)," y ",","),"y",",")," ",","),".",","),"/",","),"-",",")&amp;",")</f>
        <v/>
      </c>
    </row>
    <row r="475" customFormat="false" ht="15" hidden="false" customHeight="false" outlineLevel="0" collapsed="false">
      <c r="A475" s="5"/>
      <c r="B475" s="5"/>
      <c r="C475" s="6"/>
      <c r="D475" s="7"/>
      <c r="E475" s="5"/>
      <c r="F475" s="8"/>
      <c r="G475" s="9" t="str">
        <f aca="false">IF(C475="","",","&amp;SUBSTITUTE(SUBSTITUTE(SUBSTITUTE(SUBSTITUTE(SUBSTITUTE(SUBSTITUTE(TRIM(C475)," y ",","),"y",",")," ",","),".",","),"/",","),"-",",")&amp;",")</f>
        <v/>
      </c>
    </row>
    <row r="476" customFormat="false" ht="15" hidden="false" customHeight="false" outlineLevel="0" collapsed="false">
      <c r="A476" s="5"/>
      <c r="B476" s="5"/>
      <c r="C476" s="6"/>
      <c r="D476" s="7"/>
      <c r="E476" s="5"/>
      <c r="F476" s="8"/>
      <c r="G476" s="9" t="str">
        <f aca="false">IF(C476="","",","&amp;SUBSTITUTE(SUBSTITUTE(SUBSTITUTE(SUBSTITUTE(SUBSTITUTE(SUBSTITUTE(TRIM(C476)," y ",","),"y",",")," ",","),".",","),"/",","),"-",",")&amp;",")</f>
        <v/>
      </c>
    </row>
    <row r="477" customFormat="false" ht="15" hidden="false" customHeight="false" outlineLevel="0" collapsed="false">
      <c r="A477" s="5"/>
      <c r="B477" s="5"/>
      <c r="C477" s="6"/>
      <c r="D477" s="7"/>
      <c r="E477" s="5"/>
      <c r="F477" s="8"/>
      <c r="G477" s="9" t="str">
        <f aca="false">IF(C477="","",","&amp;SUBSTITUTE(SUBSTITUTE(SUBSTITUTE(SUBSTITUTE(SUBSTITUTE(SUBSTITUTE(TRIM(C477)," y ",","),"y",",")," ",","),".",","),"/",","),"-",",")&amp;",")</f>
        <v/>
      </c>
    </row>
    <row r="478" customFormat="false" ht="15" hidden="false" customHeight="false" outlineLevel="0" collapsed="false">
      <c r="A478" s="5"/>
      <c r="B478" s="5"/>
      <c r="C478" s="6"/>
      <c r="D478" s="7"/>
      <c r="E478" s="5"/>
      <c r="F478" s="8"/>
      <c r="G478" s="9" t="str">
        <f aca="false">IF(C478="","",","&amp;SUBSTITUTE(SUBSTITUTE(SUBSTITUTE(SUBSTITUTE(SUBSTITUTE(SUBSTITUTE(TRIM(C478)," y ",","),"y",",")," ",","),".",","),"/",","),"-",",")&amp;",")</f>
        <v/>
      </c>
    </row>
    <row r="479" customFormat="false" ht="15" hidden="false" customHeight="false" outlineLevel="0" collapsed="false">
      <c r="A479" s="5"/>
      <c r="B479" s="5"/>
      <c r="C479" s="6"/>
      <c r="D479" s="7"/>
      <c r="E479" s="5"/>
      <c r="F479" s="8"/>
      <c r="G479" s="9" t="str">
        <f aca="false">IF(C479="","",","&amp;SUBSTITUTE(SUBSTITUTE(SUBSTITUTE(SUBSTITUTE(SUBSTITUTE(SUBSTITUTE(TRIM(C479)," y ",","),"y",",")," ",","),".",","),"/",","),"-",",")&amp;",")</f>
        <v/>
      </c>
    </row>
    <row r="480" customFormat="false" ht="15" hidden="false" customHeight="false" outlineLevel="0" collapsed="false">
      <c r="A480" s="5"/>
      <c r="B480" s="5"/>
      <c r="C480" s="6"/>
      <c r="D480" s="7"/>
      <c r="E480" s="5"/>
      <c r="F480" s="8"/>
      <c r="G480" s="9" t="str">
        <f aca="false">IF(C480="","",","&amp;SUBSTITUTE(SUBSTITUTE(SUBSTITUTE(SUBSTITUTE(SUBSTITUTE(SUBSTITUTE(TRIM(C480)," y ",","),"y",",")," ",","),".",","),"/",","),"-",",")&amp;",")</f>
        <v/>
      </c>
    </row>
    <row r="481" customFormat="false" ht="15" hidden="false" customHeight="false" outlineLevel="0" collapsed="false">
      <c r="A481" s="5"/>
      <c r="B481" s="5"/>
      <c r="C481" s="6"/>
      <c r="D481" s="7"/>
      <c r="E481" s="5"/>
      <c r="F481" s="8"/>
      <c r="G481" s="9" t="str">
        <f aca="false">IF(C481="","",","&amp;SUBSTITUTE(SUBSTITUTE(SUBSTITUTE(SUBSTITUTE(SUBSTITUTE(SUBSTITUTE(TRIM(C481)," y ",","),"y",",")," ",","),".",","),"/",","),"-",",")&amp;",")</f>
        <v/>
      </c>
    </row>
    <row r="482" customFormat="false" ht="15" hidden="false" customHeight="false" outlineLevel="0" collapsed="false">
      <c r="A482" s="5"/>
      <c r="B482" s="5"/>
      <c r="C482" s="6"/>
      <c r="D482" s="7"/>
      <c r="E482" s="5"/>
      <c r="F482" s="8"/>
      <c r="G482" s="9" t="str">
        <f aca="false">IF(C482="","",","&amp;SUBSTITUTE(SUBSTITUTE(SUBSTITUTE(SUBSTITUTE(SUBSTITUTE(SUBSTITUTE(TRIM(C482)," y ",","),"y",",")," ",","),".",","),"/",","),"-",",")&amp;",")</f>
        <v/>
      </c>
    </row>
    <row r="483" customFormat="false" ht="15" hidden="false" customHeight="false" outlineLevel="0" collapsed="false">
      <c r="A483" s="5"/>
      <c r="B483" s="5"/>
      <c r="C483" s="6"/>
      <c r="D483" s="7"/>
      <c r="E483" s="5"/>
      <c r="F483" s="8"/>
      <c r="G483" s="9" t="str">
        <f aca="false">IF(C483="","",","&amp;SUBSTITUTE(SUBSTITUTE(SUBSTITUTE(SUBSTITUTE(SUBSTITUTE(SUBSTITUTE(TRIM(C483)," y ",","),"y",",")," ",","),".",","),"/",","),"-",",")&amp;",")</f>
        <v/>
      </c>
    </row>
    <row r="484" customFormat="false" ht="15" hidden="false" customHeight="false" outlineLevel="0" collapsed="false">
      <c r="A484" s="5"/>
      <c r="B484" s="5"/>
      <c r="C484" s="6"/>
      <c r="D484" s="7"/>
      <c r="E484" s="5"/>
      <c r="F484" s="8"/>
      <c r="G484" s="9" t="str">
        <f aca="false">IF(C484="","",","&amp;SUBSTITUTE(SUBSTITUTE(SUBSTITUTE(SUBSTITUTE(SUBSTITUTE(SUBSTITUTE(TRIM(C484)," y ",","),"y",",")," ",","),".",","),"/",","),"-",",")&amp;",")</f>
        <v/>
      </c>
    </row>
    <row r="485" customFormat="false" ht="15" hidden="false" customHeight="false" outlineLevel="0" collapsed="false">
      <c r="A485" s="5"/>
      <c r="B485" s="5"/>
      <c r="C485" s="6"/>
      <c r="D485" s="7"/>
      <c r="E485" s="5"/>
      <c r="F485" s="8"/>
      <c r="G485" s="9" t="str">
        <f aca="false">IF(C485="","",","&amp;SUBSTITUTE(SUBSTITUTE(SUBSTITUTE(SUBSTITUTE(SUBSTITUTE(SUBSTITUTE(TRIM(C485)," y ",","),"y",",")," ",","),".",","),"/",","),"-",",")&amp;",")</f>
        <v/>
      </c>
    </row>
    <row r="486" customFormat="false" ht="15" hidden="false" customHeight="false" outlineLevel="0" collapsed="false">
      <c r="A486" s="5"/>
      <c r="B486" s="5"/>
      <c r="C486" s="6"/>
      <c r="D486" s="7"/>
      <c r="E486" s="5"/>
      <c r="F486" s="8"/>
      <c r="G486" s="9" t="str">
        <f aca="false">IF(C486="","",","&amp;SUBSTITUTE(SUBSTITUTE(SUBSTITUTE(SUBSTITUTE(SUBSTITUTE(SUBSTITUTE(TRIM(C486)," y ",","),"y",",")," ",","),".",","),"/",","),"-",",")&amp;",")</f>
        <v/>
      </c>
    </row>
    <row r="487" customFormat="false" ht="15" hidden="false" customHeight="false" outlineLevel="0" collapsed="false">
      <c r="A487" s="5"/>
      <c r="B487" s="5"/>
      <c r="C487" s="6"/>
      <c r="D487" s="7"/>
      <c r="E487" s="5"/>
      <c r="F487" s="8"/>
      <c r="G487" s="9" t="str">
        <f aca="false">IF(C487="","",","&amp;SUBSTITUTE(SUBSTITUTE(SUBSTITUTE(SUBSTITUTE(SUBSTITUTE(SUBSTITUTE(TRIM(C487)," y ",","),"y",",")," ",","),".",","),"/",","),"-",",")&amp;",")</f>
        <v/>
      </c>
    </row>
    <row r="488" customFormat="false" ht="15" hidden="false" customHeight="false" outlineLevel="0" collapsed="false">
      <c r="A488" s="5"/>
      <c r="B488" s="5"/>
      <c r="C488" s="6"/>
      <c r="D488" s="7"/>
      <c r="E488" s="5"/>
      <c r="F488" s="8"/>
      <c r="G488" s="9" t="str">
        <f aca="false">IF(C488="","",","&amp;SUBSTITUTE(SUBSTITUTE(SUBSTITUTE(SUBSTITUTE(SUBSTITUTE(SUBSTITUTE(TRIM(C488)," y ",","),"y",",")," ",","),".",","),"/",","),"-",",")&amp;",")</f>
        <v/>
      </c>
    </row>
    <row r="489" customFormat="false" ht="15" hidden="false" customHeight="false" outlineLevel="0" collapsed="false">
      <c r="A489" s="5"/>
      <c r="B489" s="5"/>
      <c r="C489" s="6"/>
      <c r="D489" s="7"/>
      <c r="E489" s="5"/>
      <c r="F489" s="8"/>
      <c r="G489" s="9" t="str">
        <f aca="false">IF(C489="","",","&amp;SUBSTITUTE(SUBSTITUTE(SUBSTITUTE(SUBSTITUTE(SUBSTITUTE(SUBSTITUTE(TRIM(C489)," y ",","),"y",",")," ",","),".",","),"/",","),"-",",")&amp;",")</f>
        <v/>
      </c>
    </row>
    <row r="490" customFormat="false" ht="15" hidden="false" customHeight="false" outlineLevel="0" collapsed="false">
      <c r="A490" s="5"/>
      <c r="B490" s="5"/>
      <c r="C490" s="6"/>
      <c r="D490" s="7"/>
      <c r="E490" s="5"/>
      <c r="F490" s="8"/>
      <c r="G490" s="9" t="str">
        <f aca="false">IF(C490="","",","&amp;SUBSTITUTE(SUBSTITUTE(SUBSTITUTE(SUBSTITUTE(SUBSTITUTE(SUBSTITUTE(TRIM(C490)," y ",","),"y",",")," ",","),".",","),"/",","),"-",",")&amp;",")</f>
        <v/>
      </c>
    </row>
    <row r="491" customFormat="false" ht="15" hidden="false" customHeight="false" outlineLevel="0" collapsed="false">
      <c r="A491" s="5"/>
      <c r="B491" s="5"/>
      <c r="C491" s="6"/>
      <c r="D491" s="7"/>
      <c r="E491" s="5"/>
      <c r="F491" s="8"/>
      <c r="G491" s="9" t="str">
        <f aca="false">IF(C491="","",","&amp;SUBSTITUTE(SUBSTITUTE(SUBSTITUTE(SUBSTITUTE(SUBSTITUTE(SUBSTITUTE(TRIM(C491)," y ",","),"y",",")," ",","),".",","),"/",","),"-",",")&amp;",")</f>
        <v/>
      </c>
    </row>
    <row r="492" customFormat="false" ht="15" hidden="false" customHeight="false" outlineLevel="0" collapsed="false">
      <c r="A492" s="5"/>
      <c r="B492" s="5"/>
      <c r="C492" s="6"/>
      <c r="D492" s="7"/>
      <c r="E492" s="5"/>
      <c r="F492" s="8"/>
      <c r="G492" s="9" t="str">
        <f aca="false">IF(C492="","",","&amp;SUBSTITUTE(SUBSTITUTE(SUBSTITUTE(SUBSTITUTE(SUBSTITUTE(SUBSTITUTE(TRIM(C492)," y ",","),"y",",")," ",","),".",","),"/",","),"-",",")&amp;",")</f>
        <v/>
      </c>
    </row>
    <row r="493" customFormat="false" ht="15" hidden="false" customHeight="false" outlineLevel="0" collapsed="false">
      <c r="A493" s="5"/>
      <c r="B493" s="5"/>
      <c r="C493" s="6"/>
      <c r="D493" s="7"/>
      <c r="E493" s="5"/>
      <c r="F493" s="8"/>
      <c r="G493" s="9" t="str">
        <f aca="false">IF(C493="","",","&amp;SUBSTITUTE(SUBSTITUTE(SUBSTITUTE(SUBSTITUTE(SUBSTITUTE(SUBSTITUTE(TRIM(C493)," y ",","),"y",",")," ",","),".",","),"/",","),"-",",")&amp;",")</f>
        <v/>
      </c>
    </row>
    <row r="494" customFormat="false" ht="15" hidden="false" customHeight="false" outlineLevel="0" collapsed="false">
      <c r="A494" s="5"/>
      <c r="B494" s="5"/>
      <c r="C494" s="6"/>
      <c r="D494" s="7"/>
      <c r="E494" s="5"/>
      <c r="F494" s="8"/>
      <c r="G494" s="9" t="str">
        <f aca="false">IF(C494="","",","&amp;SUBSTITUTE(SUBSTITUTE(SUBSTITUTE(SUBSTITUTE(SUBSTITUTE(SUBSTITUTE(TRIM(C494)," y ",","),"y",",")," ",","),".",","),"/",","),"-",",")&amp;",")</f>
        <v/>
      </c>
    </row>
    <row r="495" customFormat="false" ht="15" hidden="false" customHeight="false" outlineLevel="0" collapsed="false">
      <c r="A495" s="5"/>
      <c r="B495" s="5"/>
      <c r="C495" s="6"/>
      <c r="D495" s="7"/>
      <c r="E495" s="5"/>
      <c r="F495" s="8"/>
      <c r="G495" s="9" t="str">
        <f aca="false">IF(C495="","",","&amp;SUBSTITUTE(SUBSTITUTE(SUBSTITUTE(SUBSTITUTE(SUBSTITUTE(SUBSTITUTE(TRIM(C495)," y ",","),"y",",")," ",","),".",","),"/",","),"-",",")&amp;",")</f>
        <v/>
      </c>
    </row>
    <row r="496" customFormat="false" ht="15" hidden="false" customHeight="false" outlineLevel="0" collapsed="false">
      <c r="A496" s="5"/>
      <c r="B496" s="5"/>
      <c r="C496" s="6"/>
      <c r="D496" s="7"/>
      <c r="E496" s="5"/>
      <c r="F496" s="8"/>
      <c r="G496" s="9" t="str">
        <f aca="false">IF(C496="","",","&amp;SUBSTITUTE(SUBSTITUTE(SUBSTITUTE(SUBSTITUTE(SUBSTITUTE(SUBSTITUTE(TRIM(C496)," y ",","),"y",",")," ",","),".",","),"/",","),"-",",")&amp;",")</f>
        <v/>
      </c>
    </row>
    <row r="497" customFormat="false" ht="15" hidden="false" customHeight="false" outlineLevel="0" collapsed="false">
      <c r="A497" s="5"/>
      <c r="B497" s="5"/>
      <c r="C497" s="6"/>
      <c r="D497" s="7"/>
      <c r="E497" s="5"/>
      <c r="F497" s="8"/>
      <c r="G497" s="9" t="str">
        <f aca="false">IF(C497="","",","&amp;SUBSTITUTE(SUBSTITUTE(SUBSTITUTE(SUBSTITUTE(SUBSTITUTE(SUBSTITUTE(TRIM(C497)," y ",","),"y",",")," ",","),".",","),"/",","),"-",",")&amp;",")</f>
        <v/>
      </c>
    </row>
    <row r="498" customFormat="false" ht="15" hidden="false" customHeight="false" outlineLevel="0" collapsed="false">
      <c r="A498" s="5"/>
      <c r="B498" s="5"/>
      <c r="C498" s="6"/>
      <c r="D498" s="7"/>
      <c r="E498" s="5"/>
      <c r="F498" s="8"/>
      <c r="G498" s="9" t="str">
        <f aca="false">IF(C498="","",","&amp;SUBSTITUTE(SUBSTITUTE(SUBSTITUTE(SUBSTITUTE(SUBSTITUTE(SUBSTITUTE(TRIM(C498)," y ",","),"y",",")," ",","),".",","),"/",","),"-",",")&amp;",")</f>
        <v/>
      </c>
    </row>
    <row r="499" customFormat="false" ht="15" hidden="false" customHeight="false" outlineLevel="0" collapsed="false">
      <c r="A499" s="5"/>
      <c r="B499" s="5"/>
      <c r="C499" s="6"/>
      <c r="D499" s="7"/>
      <c r="E499" s="5"/>
      <c r="F499" s="8"/>
      <c r="G499" s="9" t="str">
        <f aca="false">IF(C499="","",","&amp;SUBSTITUTE(SUBSTITUTE(SUBSTITUTE(SUBSTITUTE(SUBSTITUTE(SUBSTITUTE(TRIM(C499)," y ",","),"y",",")," ",","),".",","),"/",","),"-",",")&amp;",")</f>
        <v/>
      </c>
    </row>
    <row r="500" customFormat="false" ht="15" hidden="false" customHeight="false" outlineLevel="0" collapsed="false">
      <c r="A500" s="5"/>
      <c r="B500" s="5"/>
      <c r="C500" s="6"/>
      <c r="D500" s="7"/>
      <c r="E500" s="5"/>
      <c r="F500" s="8"/>
      <c r="G500" s="9" t="str">
        <f aca="false">IF(C500="","",","&amp;SUBSTITUTE(SUBSTITUTE(SUBSTITUTE(SUBSTITUTE(SUBSTITUTE(SUBSTITUTE(TRIM(C500)," y ",","),"y",",")," ",","),".",","),"/",","),"-",",")&amp;",")</f>
        <v/>
      </c>
    </row>
    <row r="501" customFormat="false" ht="15" hidden="false" customHeight="false" outlineLevel="0" collapsed="false">
      <c r="A501" s="5"/>
      <c r="B501" s="5"/>
      <c r="C501" s="6"/>
      <c r="D501" s="7"/>
      <c r="E501" s="5"/>
      <c r="F501" s="8"/>
      <c r="G501" s="9" t="str">
        <f aca="false">IF(C501="","",","&amp;SUBSTITUTE(SUBSTITUTE(SUBSTITUTE(SUBSTITUTE(SUBSTITUTE(SUBSTITUTE(TRIM(C501)," y ",","),"y",",")," ",","),".",","),"/",","),"-",",")&amp;",")</f>
        <v/>
      </c>
    </row>
  </sheetData>
  <dataValidations count="1">
    <dataValidation allowBlank="true" errorStyle="stop" operator="between" showDropDown="false" showErrorMessage="false" showInputMessage="false" sqref="E2:E501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4" t="s">
        <v>45</v>
      </c>
      <c r="B1" s="4" t="s">
        <v>46</v>
      </c>
    </row>
    <row r="2" customFormat="false" ht="15" hidden="false" customHeight="false" outlineLevel="0" collapsed="false">
      <c r="A2" s="13" t="n">
        <v>1</v>
      </c>
      <c r="B2" s="13" t="str">
        <f aca="false">IF(COUNTIFS(Reservas!$G$2:$G$501,"*,"&amp;A2&amp;",*",Reservas!$E$2:$E$501,"&lt;&gt;No")+COUNTIFS(Reservas!$G$2:$G$501,"*,"&amp;TEXT(A2,"00")&amp;",*",Reservas!$E$2:$E$501,"&lt;&gt;No")+COUNTIFS(Reservas!$G$2:$G$501,"*,"&amp;TEXT(A2,"000")&amp;",*",Reservas!$E$2:$E$501,"&lt;&gt;No")&gt;0,"vendido",IF(COUNTIF(Reservas!$G$2:$G$501,"*,"&amp;A2&amp;",*")+COUNTIF(Reservas!$G$2:$G$501,"*,"&amp;TEXT(A2,"00")&amp;",*")+COUNTIF(Reservas!$G$2:$G$501,"*,"&amp;TEXT(A2,"000")&amp;",*")&gt;0,"reservado","disponible"))</f>
        <v>vendido</v>
      </c>
    </row>
    <row r="3" customFormat="false" ht="15" hidden="false" customHeight="false" outlineLevel="0" collapsed="false">
      <c r="A3" s="13" t="n">
        <v>2</v>
      </c>
      <c r="B3" s="13" t="str">
        <f aca="false">IF(COUNTIFS(Reservas!$G$2:$G$501,"*,"&amp;A3&amp;",*",Reservas!$E$2:$E$501,"&lt;&gt;No")+COUNTIFS(Reservas!$G$2:$G$501,"*,"&amp;TEXT(A3,"00")&amp;",*",Reservas!$E$2:$E$501,"&lt;&gt;No")+COUNTIFS(Reservas!$G$2:$G$501,"*,"&amp;TEXT(A3,"000")&amp;",*",Reservas!$E$2:$E$501,"&lt;&gt;No")&gt;0,"vendido",IF(COUNTIF(Reservas!$G$2:$G$501,"*,"&amp;A3&amp;",*")+COUNTIF(Reservas!$G$2:$G$501,"*,"&amp;TEXT(A3,"00")&amp;",*")+COUNTIF(Reservas!$G$2:$G$501,"*,"&amp;TEXT(A3,"000")&amp;",*")&gt;0,"reservado","disponible"))</f>
        <v>disponible</v>
      </c>
    </row>
    <row r="4" customFormat="false" ht="15" hidden="false" customHeight="false" outlineLevel="0" collapsed="false">
      <c r="A4" s="13" t="n">
        <v>3</v>
      </c>
      <c r="B4" s="13" t="str">
        <f aca="false">IF(COUNTIFS(Reservas!$G$2:$G$501,"*,"&amp;A4&amp;",*",Reservas!$E$2:$E$501,"&lt;&gt;No")+COUNTIFS(Reservas!$G$2:$G$501,"*,"&amp;TEXT(A4,"00")&amp;",*",Reservas!$E$2:$E$501,"&lt;&gt;No")+COUNTIFS(Reservas!$G$2:$G$501,"*,"&amp;TEXT(A4,"000")&amp;",*",Reservas!$E$2:$E$501,"&lt;&gt;No")&gt;0,"vendido",IF(COUNTIF(Reservas!$G$2:$G$501,"*,"&amp;A4&amp;",*")+COUNTIF(Reservas!$G$2:$G$501,"*,"&amp;TEXT(A4,"00")&amp;",*")+COUNTIF(Reservas!$G$2:$G$501,"*,"&amp;TEXT(A4,"000")&amp;",*")&gt;0,"reservado","disponible"))</f>
        <v>disponible</v>
      </c>
    </row>
    <row r="5" customFormat="false" ht="15" hidden="false" customHeight="false" outlineLevel="0" collapsed="false">
      <c r="A5" s="13" t="n">
        <v>4</v>
      </c>
      <c r="B5" s="13" t="str">
        <f aca="false">IF(COUNTIFS(Reservas!$G$2:$G$501,"*,"&amp;A5&amp;",*",Reservas!$E$2:$E$501,"&lt;&gt;No")+COUNTIFS(Reservas!$G$2:$G$501,"*,"&amp;TEXT(A5,"00")&amp;",*",Reservas!$E$2:$E$501,"&lt;&gt;No")+COUNTIFS(Reservas!$G$2:$G$501,"*,"&amp;TEXT(A5,"000")&amp;",*",Reservas!$E$2:$E$501,"&lt;&gt;No")&gt;0,"vendido",IF(COUNTIF(Reservas!$G$2:$G$501,"*,"&amp;A5&amp;",*")+COUNTIF(Reservas!$G$2:$G$501,"*,"&amp;TEXT(A5,"00")&amp;",*")+COUNTIF(Reservas!$G$2:$G$501,"*,"&amp;TEXT(A5,"000")&amp;",*")&gt;0,"reservado","disponible"))</f>
        <v>disponible</v>
      </c>
    </row>
    <row r="6" customFormat="false" ht="15" hidden="false" customHeight="false" outlineLevel="0" collapsed="false">
      <c r="A6" s="13" t="n">
        <v>5</v>
      </c>
      <c r="B6" s="13" t="str">
        <f aca="false">IF(COUNTIFS(Reservas!$G$2:$G$501,"*,"&amp;A6&amp;",*",Reservas!$E$2:$E$501,"&lt;&gt;No")+COUNTIFS(Reservas!$G$2:$G$501,"*,"&amp;TEXT(A6,"00")&amp;",*",Reservas!$E$2:$E$501,"&lt;&gt;No")+COUNTIFS(Reservas!$G$2:$G$501,"*,"&amp;TEXT(A6,"000")&amp;",*",Reservas!$E$2:$E$501,"&lt;&gt;No")&gt;0,"vendido",IF(COUNTIF(Reservas!$G$2:$G$501,"*,"&amp;A6&amp;",*")+COUNTIF(Reservas!$G$2:$G$501,"*,"&amp;TEXT(A6,"00")&amp;",*")+COUNTIF(Reservas!$G$2:$G$501,"*,"&amp;TEXT(A6,"000")&amp;",*")&gt;0,"reservado","disponible"))</f>
        <v>vendido</v>
      </c>
    </row>
    <row r="7" customFormat="false" ht="15" hidden="false" customHeight="false" outlineLevel="0" collapsed="false">
      <c r="A7" s="13" t="n">
        <v>6</v>
      </c>
      <c r="B7" s="13" t="str">
        <f aca="false">IF(COUNTIFS(Reservas!$G$2:$G$501,"*,"&amp;A7&amp;",*",Reservas!$E$2:$E$501,"&lt;&gt;No")+COUNTIFS(Reservas!$G$2:$G$501,"*,"&amp;TEXT(A7,"00")&amp;",*",Reservas!$E$2:$E$501,"&lt;&gt;No")+COUNTIFS(Reservas!$G$2:$G$501,"*,"&amp;TEXT(A7,"000")&amp;",*",Reservas!$E$2:$E$501,"&lt;&gt;No")&gt;0,"vendido",IF(COUNTIF(Reservas!$G$2:$G$501,"*,"&amp;A7&amp;",*")+COUNTIF(Reservas!$G$2:$G$501,"*,"&amp;TEXT(A7,"00")&amp;",*")+COUNTIF(Reservas!$G$2:$G$501,"*,"&amp;TEXT(A7,"000")&amp;",*")&gt;0,"reservado","disponible"))</f>
        <v>disponible</v>
      </c>
    </row>
    <row r="8" customFormat="false" ht="15" hidden="false" customHeight="false" outlineLevel="0" collapsed="false">
      <c r="A8" s="13" t="n">
        <v>7</v>
      </c>
      <c r="B8" s="13" t="str">
        <f aca="false">IF(COUNTIFS(Reservas!$G$2:$G$501,"*,"&amp;A8&amp;",*",Reservas!$E$2:$E$501,"&lt;&gt;No")+COUNTIFS(Reservas!$G$2:$G$501,"*,"&amp;TEXT(A8,"00")&amp;",*",Reservas!$E$2:$E$501,"&lt;&gt;No")+COUNTIFS(Reservas!$G$2:$G$501,"*,"&amp;TEXT(A8,"000")&amp;",*",Reservas!$E$2:$E$501,"&lt;&gt;No")&gt;0,"vendido",IF(COUNTIF(Reservas!$G$2:$G$501,"*,"&amp;A8&amp;",*")+COUNTIF(Reservas!$G$2:$G$501,"*,"&amp;TEXT(A8,"00")&amp;",*")+COUNTIF(Reservas!$G$2:$G$501,"*,"&amp;TEXT(A8,"000")&amp;",*")&gt;0,"reservado","disponible"))</f>
        <v>vendido</v>
      </c>
    </row>
    <row r="9" customFormat="false" ht="15" hidden="false" customHeight="false" outlineLevel="0" collapsed="false">
      <c r="A9" s="13" t="n">
        <v>8</v>
      </c>
      <c r="B9" s="13" t="str">
        <f aca="false">IF(COUNTIFS(Reservas!$G$2:$G$501,"*,"&amp;A9&amp;",*",Reservas!$E$2:$E$501,"&lt;&gt;No")+COUNTIFS(Reservas!$G$2:$G$501,"*,"&amp;TEXT(A9,"00")&amp;",*",Reservas!$E$2:$E$501,"&lt;&gt;No")+COUNTIFS(Reservas!$G$2:$G$501,"*,"&amp;TEXT(A9,"000")&amp;",*",Reservas!$E$2:$E$501,"&lt;&gt;No")&gt;0,"vendido",IF(COUNTIF(Reservas!$G$2:$G$501,"*,"&amp;A9&amp;",*")+COUNTIF(Reservas!$G$2:$G$501,"*,"&amp;TEXT(A9,"00")&amp;",*")+COUNTIF(Reservas!$G$2:$G$501,"*,"&amp;TEXT(A9,"000")&amp;",*")&gt;0,"reservado","disponible"))</f>
        <v>vendido</v>
      </c>
    </row>
    <row r="10" customFormat="false" ht="15" hidden="false" customHeight="false" outlineLevel="0" collapsed="false">
      <c r="A10" s="13" t="n">
        <v>9</v>
      </c>
      <c r="B10" s="13" t="str">
        <f aca="false">IF(COUNTIFS(Reservas!$G$2:$G$501,"*,"&amp;A10&amp;",*",Reservas!$E$2:$E$501,"&lt;&gt;No")+COUNTIFS(Reservas!$G$2:$G$501,"*,"&amp;TEXT(A10,"00")&amp;",*",Reservas!$E$2:$E$501,"&lt;&gt;No")+COUNTIFS(Reservas!$G$2:$G$501,"*,"&amp;TEXT(A10,"000")&amp;",*",Reservas!$E$2:$E$501,"&lt;&gt;No")&gt;0,"vendido",IF(COUNTIF(Reservas!$G$2:$G$501,"*,"&amp;A10&amp;",*")+COUNTIF(Reservas!$G$2:$G$501,"*,"&amp;TEXT(A10,"00")&amp;",*")+COUNTIF(Reservas!$G$2:$G$501,"*,"&amp;TEXT(A10,"000")&amp;",*")&gt;0,"reservado","disponible"))</f>
        <v>disponible</v>
      </c>
    </row>
    <row r="11" customFormat="false" ht="15" hidden="false" customHeight="false" outlineLevel="0" collapsed="false">
      <c r="A11" s="13" t="n">
        <v>10</v>
      </c>
      <c r="B11" s="13" t="str">
        <f aca="false">IF(COUNTIFS(Reservas!$G$2:$G$501,"*,"&amp;A11&amp;",*",Reservas!$E$2:$E$501,"&lt;&gt;No")+COUNTIFS(Reservas!$G$2:$G$501,"*,"&amp;TEXT(A11,"00")&amp;",*",Reservas!$E$2:$E$501,"&lt;&gt;No")+COUNTIFS(Reservas!$G$2:$G$501,"*,"&amp;TEXT(A11,"000")&amp;",*",Reservas!$E$2:$E$501,"&lt;&gt;No")&gt;0,"vendido",IF(COUNTIF(Reservas!$G$2:$G$501,"*,"&amp;A11&amp;",*")+COUNTIF(Reservas!$G$2:$G$501,"*,"&amp;TEXT(A11,"00")&amp;",*")+COUNTIF(Reservas!$G$2:$G$501,"*,"&amp;TEXT(A11,"000")&amp;",*")&gt;0,"reservado","disponible"))</f>
        <v>vendido</v>
      </c>
    </row>
    <row r="12" customFormat="false" ht="15" hidden="false" customHeight="false" outlineLevel="0" collapsed="false">
      <c r="A12" s="13" t="n">
        <v>11</v>
      </c>
      <c r="B12" s="13" t="str">
        <f aca="false">IF(COUNTIFS(Reservas!$G$2:$G$501,"*,"&amp;A12&amp;",*",Reservas!$E$2:$E$501,"&lt;&gt;No")+COUNTIFS(Reservas!$G$2:$G$501,"*,"&amp;TEXT(A12,"00")&amp;",*",Reservas!$E$2:$E$501,"&lt;&gt;No")+COUNTIFS(Reservas!$G$2:$G$501,"*,"&amp;TEXT(A12,"000")&amp;",*",Reservas!$E$2:$E$501,"&lt;&gt;No")&gt;0,"vendido",IF(COUNTIF(Reservas!$G$2:$G$501,"*,"&amp;A12&amp;",*")+COUNTIF(Reservas!$G$2:$G$501,"*,"&amp;TEXT(A12,"00")&amp;",*")+COUNTIF(Reservas!$G$2:$G$501,"*,"&amp;TEXT(A12,"000")&amp;",*")&gt;0,"reservado","disponible"))</f>
        <v>vendido</v>
      </c>
    </row>
    <row r="13" customFormat="false" ht="15" hidden="false" customHeight="false" outlineLevel="0" collapsed="false">
      <c r="A13" s="13" t="n">
        <v>12</v>
      </c>
      <c r="B13" s="13" t="str">
        <f aca="false">IF(COUNTIFS(Reservas!$G$2:$G$501,"*,"&amp;A13&amp;",*",Reservas!$E$2:$E$501,"&lt;&gt;No")+COUNTIFS(Reservas!$G$2:$G$501,"*,"&amp;TEXT(A13,"00")&amp;",*",Reservas!$E$2:$E$501,"&lt;&gt;No")+COUNTIFS(Reservas!$G$2:$G$501,"*,"&amp;TEXT(A13,"000")&amp;",*",Reservas!$E$2:$E$501,"&lt;&gt;No")&gt;0,"vendido",IF(COUNTIF(Reservas!$G$2:$G$501,"*,"&amp;A13&amp;",*")+COUNTIF(Reservas!$G$2:$G$501,"*,"&amp;TEXT(A13,"00")&amp;",*")+COUNTIF(Reservas!$G$2:$G$501,"*,"&amp;TEXT(A13,"000")&amp;",*")&gt;0,"reservado","disponible"))</f>
        <v>vendido</v>
      </c>
    </row>
    <row r="14" customFormat="false" ht="15" hidden="false" customHeight="false" outlineLevel="0" collapsed="false">
      <c r="A14" s="13" t="n">
        <v>13</v>
      </c>
      <c r="B14" s="13" t="str">
        <f aca="false">IF(COUNTIFS(Reservas!$G$2:$G$501,"*,"&amp;A14&amp;",*",Reservas!$E$2:$E$501,"&lt;&gt;No")+COUNTIFS(Reservas!$G$2:$G$501,"*,"&amp;TEXT(A14,"00")&amp;",*",Reservas!$E$2:$E$501,"&lt;&gt;No")+COUNTIFS(Reservas!$G$2:$G$501,"*,"&amp;TEXT(A14,"000")&amp;",*",Reservas!$E$2:$E$501,"&lt;&gt;No")&gt;0,"vendido",IF(COUNTIF(Reservas!$G$2:$G$501,"*,"&amp;A14&amp;",*")+COUNTIF(Reservas!$G$2:$G$501,"*,"&amp;TEXT(A14,"00")&amp;",*")+COUNTIF(Reservas!$G$2:$G$501,"*,"&amp;TEXT(A14,"000")&amp;",*")&gt;0,"reservado","disponible"))</f>
        <v>vendido</v>
      </c>
    </row>
    <row r="15" customFormat="false" ht="15" hidden="false" customHeight="false" outlineLevel="0" collapsed="false">
      <c r="A15" s="13" t="n">
        <v>14</v>
      </c>
      <c r="B15" s="13" t="str">
        <f aca="false">IF(COUNTIFS(Reservas!$G$2:$G$501,"*,"&amp;A15&amp;",*",Reservas!$E$2:$E$501,"&lt;&gt;No")+COUNTIFS(Reservas!$G$2:$G$501,"*,"&amp;TEXT(A15,"00")&amp;",*",Reservas!$E$2:$E$501,"&lt;&gt;No")+COUNTIFS(Reservas!$G$2:$G$501,"*,"&amp;TEXT(A15,"000")&amp;",*",Reservas!$E$2:$E$501,"&lt;&gt;No")&gt;0,"vendido",IF(COUNTIF(Reservas!$G$2:$G$501,"*,"&amp;A15&amp;",*")+COUNTIF(Reservas!$G$2:$G$501,"*,"&amp;TEXT(A15,"00")&amp;",*")+COUNTIF(Reservas!$G$2:$G$501,"*,"&amp;TEXT(A15,"000")&amp;",*")&gt;0,"reservado","disponible"))</f>
        <v>vendido</v>
      </c>
    </row>
    <row r="16" customFormat="false" ht="15" hidden="false" customHeight="false" outlineLevel="0" collapsed="false">
      <c r="A16" s="13" t="n">
        <v>15</v>
      </c>
      <c r="B16" s="13" t="str">
        <f aca="false">IF(COUNTIFS(Reservas!$G$2:$G$501,"*,"&amp;A16&amp;",*",Reservas!$E$2:$E$501,"&lt;&gt;No")+COUNTIFS(Reservas!$G$2:$G$501,"*,"&amp;TEXT(A16,"00")&amp;",*",Reservas!$E$2:$E$501,"&lt;&gt;No")+COUNTIFS(Reservas!$G$2:$G$501,"*,"&amp;TEXT(A16,"000")&amp;",*",Reservas!$E$2:$E$501,"&lt;&gt;No")&gt;0,"vendido",IF(COUNTIF(Reservas!$G$2:$G$501,"*,"&amp;A16&amp;",*")+COUNTIF(Reservas!$G$2:$G$501,"*,"&amp;TEXT(A16,"00")&amp;",*")+COUNTIF(Reservas!$G$2:$G$501,"*,"&amp;TEXT(A16,"000")&amp;",*")&gt;0,"reservado","disponible"))</f>
        <v>vendido</v>
      </c>
    </row>
    <row r="17" customFormat="false" ht="15" hidden="false" customHeight="false" outlineLevel="0" collapsed="false">
      <c r="A17" s="13" t="n">
        <v>16</v>
      </c>
      <c r="B17" s="13" t="str">
        <f aca="false">IF(COUNTIFS(Reservas!$G$2:$G$501,"*,"&amp;A17&amp;",*",Reservas!$E$2:$E$501,"&lt;&gt;No")+COUNTIFS(Reservas!$G$2:$G$501,"*,"&amp;TEXT(A17,"00")&amp;",*",Reservas!$E$2:$E$501,"&lt;&gt;No")+COUNTIFS(Reservas!$G$2:$G$501,"*,"&amp;TEXT(A17,"000")&amp;",*",Reservas!$E$2:$E$501,"&lt;&gt;No")&gt;0,"vendido",IF(COUNTIF(Reservas!$G$2:$G$501,"*,"&amp;A17&amp;",*")+COUNTIF(Reservas!$G$2:$G$501,"*,"&amp;TEXT(A17,"00")&amp;",*")+COUNTIF(Reservas!$G$2:$G$501,"*,"&amp;TEXT(A17,"000")&amp;",*")&gt;0,"reservado","disponible"))</f>
        <v>disponible</v>
      </c>
    </row>
    <row r="18" customFormat="false" ht="15" hidden="false" customHeight="false" outlineLevel="0" collapsed="false">
      <c r="A18" s="13" t="n">
        <v>17</v>
      </c>
      <c r="B18" s="13" t="str">
        <f aca="false">IF(COUNTIFS(Reservas!$G$2:$G$501,"*,"&amp;A18&amp;",*",Reservas!$E$2:$E$501,"&lt;&gt;No")+COUNTIFS(Reservas!$G$2:$G$501,"*,"&amp;TEXT(A18,"00")&amp;",*",Reservas!$E$2:$E$501,"&lt;&gt;No")+COUNTIFS(Reservas!$G$2:$G$501,"*,"&amp;TEXT(A18,"000")&amp;",*",Reservas!$E$2:$E$501,"&lt;&gt;No")&gt;0,"vendido",IF(COUNTIF(Reservas!$G$2:$G$501,"*,"&amp;A18&amp;",*")+COUNTIF(Reservas!$G$2:$G$501,"*,"&amp;TEXT(A18,"00")&amp;",*")+COUNTIF(Reservas!$G$2:$G$501,"*,"&amp;TEXT(A18,"000")&amp;",*")&gt;0,"reservado","disponible"))</f>
        <v>disponible</v>
      </c>
    </row>
    <row r="19" customFormat="false" ht="15" hidden="false" customHeight="false" outlineLevel="0" collapsed="false">
      <c r="A19" s="13" t="n">
        <v>18</v>
      </c>
      <c r="B19" s="13" t="str">
        <f aca="false">IF(COUNTIFS(Reservas!$G$2:$G$501,"*,"&amp;A19&amp;",*",Reservas!$E$2:$E$501,"&lt;&gt;No")+COUNTIFS(Reservas!$G$2:$G$501,"*,"&amp;TEXT(A19,"00")&amp;",*",Reservas!$E$2:$E$501,"&lt;&gt;No")+COUNTIFS(Reservas!$G$2:$G$501,"*,"&amp;TEXT(A19,"000")&amp;",*",Reservas!$E$2:$E$501,"&lt;&gt;No")&gt;0,"vendido",IF(COUNTIF(Reservas!$G$2:$G$501,"*,"&amp;A19&amp;",*")+COUNTIF(Reservas!$G$2:$G$501,"*,"&amp;TEXT(A19,"00")&amp;",*")+COUNTIF(Reservas!$G$2:$G$501,"*,"&amp;TEXT(A19,"000")&amp;",*")&gt;0,"reservado","disponible"))</f>
        <v>disponible</v>
      </c>
    </row>
    <row r="20" customFormat="false" ht="15" hidden="false" customHeight="false" outlineLevel="0" collapsed="false">
      <c r="A20" s="13" t="n">
        <v>19</v>
      </c>
      <c r="B20" s="13" t="str">
        <f aca="false">IF(COUNTIFS(Reservas!$G$2:$G$501,"*,"&amp;A20&amp;",*",Reservas!$E$2:$E$501,"&lt;&gt;No")+COUNTIFS(Reservas!$G$2:$G$501,"*,"&amp;TEXT(A20,"00")&amp;",*",Reservas!$E$2:$E$501,"&lt;&gt;No")+COUNTIFS(Reservas!$G$2:$G$501,"*,"&amp;TEXT(A20,"000")&amp;",*",Reservas!$E$2:$E$501,"&lt;&gt;No")&gt;0,"vendido",IF(COUNTIF(Reservas!$G$2:$G$501,"*,"&amp;A20&amp;",*")+COUNTIF(Reservas!$G$2:$G$501,"*,"&amp;TEXT(A20,"00")&amp;",*")+COUNTIF(Reservas!$G$2:$G$501,"*,"&amp;TEXT(A20,"000")&amp;",*")&gt;0,"reservado","disponible"))</f>
        <v>disponible</v>
      </c>
    </row>
    <row r="21" customFormat="false" ht="15" hidden="false" customHeight="false" outlineLevel="0" collapsed="false">
      <c r="A21" s="13" t="n">
        <v>20</v>
      </c>
      <c r="B21" s="13" t="str">
        <f aca="false">IF(COUNTIFS(Reservas!$G$2:$G$501,"*,"&amp;A21&amp;",*",Reservas!$E$2:$E$501,"&lt;&gt;No")+COUNTIFS(Reservas!$G$2:$G$501,"*,"&amp;TEXT(A21,"00")&amp;",*",Reservas!$E$2:$E$501,"&lt;&gt;No")+COUNTIFS(Reservas!$G$2:$G$501,"*,"&amp;TEXT(A21,"000")&amp;",*",Reservas!$E$2:$E$501,"&lt;&gt;No")&gt;0,"vendido",IF(COUNTIF(Reservas!$G$2:$G$501,"*,"&amp;A21&amp;",*")+COUNTIF(Reservas!$G$2:$G$501,"*,"&amp;TEXT(A21,"00")&amp;",*")+COUNTIF(Reservas!$G$2:$G$501,"*,"&amp;TEXT(A21,"000")&amp;",*")&gt;0,"reservado","disponible"))</f>
        <v>disponible</v>
      </c>
    </row>
    <row r="22" customFormat="false" ht="15" hidden="false" customHeight="false" outlineLevel="0" collapsed="false">
      <c r="A22" s="13" t="n">
        <v>21</v>
      </c>
      <c r="B22" s="13" t="str">
        <f aca="false">IF(COUNTIFS(Reservas!$G$2:$G$501,"*,"&amp;A22&amp;",*",Reservas!$E$2:$E$501,"&lt;&gt;No")+COUNTIFS(Reservas!$G$2:$G$501,"*,"&amp;TEXT(A22,"00")&amp;",*",Reservas!$E$2:$E$501,"&lt;&gt;No")+COUNTIFS(Reservas!$G$2:$G$501,"*,"&amp;TEXT(A22,"000")&amp;",*",Reservas!$E$2:$E$501,"&lt;&gt;No")&gt;0,"vendido",IF(COUNTIF(Reservas!$G$2:$G$501,"*,"&amp;A22&amp;",*")+COUNTIF(Reservas!$G$2:$G$501,"*,"&amp;TEXT(A22,"00")&amp;",*")+COUNTIF(Reservas!$G$2:$G$501,"*,"&amp;TEXT(A22,"000")&amp;",*")&gt;0,"reservado","disponible"))</f>
        <v>vendido</v>
      </c>
    </row>
    <row r="23" customFormat="false" ht="15" hidden="false" customHeight="false" outlineLevel="0" collapsed="false">
      <c r="A23" s="13" t="n">
        <v>22</v>
      </c>
      <c r="B23" s="13" t="str">
        <f aca="false">IF(COUNTIFS(Reservas!$G$2:$G$501,"*,"&amp;A23&amp;",*",Reservas!$E$2:$E$501,"&lt;&gt;No")+COUNTIFS(Reservas!$G$2:$G$501,"*,"&amp;TEXT(A23,"00")&amp;",*",Reservas!$E$2:$E$501,"&lt;&gt;No")+COUNTIFS(Reservas!$G$2:$G$501,"*,"&amp;TEXT(A23,"000")&amp;",*",Reservas!$E$2:$E$501,"&lt;&gt;No")&gt;0,"vendido",IF(COUNTIF(Reservas!$G$2:$G$501,"*,"&amp;A23&amp;",*")+COUNTIF(Reservas!$G$2:$G$501,"*,"&amp;TEXT(A23,"00")&amp;",*")+COUNTIF(Reservas!$G$2:$G$501,"*,"&amp;TEXT(A23,"000")&amp;",*")&gt;0,"reservado","disponible"))</f>
        <v>vendido</v>
      </c>
    </row>
    <row r="24" customFormat="false" ht="15" hidden="false" customHeight="false" outlineLevel="0" collapsed="false">
      <c r="A24" s="13" t="n">
        <v>23</v>
      </c>
      <c r="B24" s="13" t="str">
        <f aca="false">IF(COUNTIFS(Reservas!$G$2:$G$501,"*,"&amp;A24&amp;",*",Reservas!$E$2:$E$501,"&lt;&gt;No")+COUNTIFS(Reservas!$G$2:$G$501,"*,"&amp;TEXT(A24,"00")&amp;",*",Reservas!$E$2:$E$501,"&lt;&gt;No")+COUNTIFS(Reservas!$G$2:$G$501,"*,"&amp;TEXT(A24,"000")&amp;",*",Reservas!$E$2:$E$501,"&lt;&gt;No")&gt;0,"vendido",IF(COUNTIF(Reservas!$G$2:$G$501,"*,"&amp;A24&amp;",*")+COUNTIF(Reservas!$G$2:$G$501,"*,"&amp;TEXT(A24,"00")&amp;",*")+COUNTIF(Reservas!$G$2:$G$501,"*,"&amp;TEXT(A24,"000")&amp;",*")&gt;0,"reservado","disponible"))</f>
        <v>disponible</v>
      </c>
    </row>
    <row r="25" customFormat="false" ht="15" hidden="false" customHeight="false" outlineLevel="0" collapsed="false">
      <c r="A25" s="13" t="n">
        <v>24</v>
      </c>
      <c r="B25" s="13" t="str">
        <f aca="false">IF(COUNTIFS(Reservas!$G$2:$G$501,"*,"&amp;A25&amp;",*",Reservas!$E$2:$E$501,"&lt;&gt;No")+COUNTIFS(Reservas!$G$2:$G$501,"*,"&amp;TEXT(A25,"00")&amp;",*",Reservas!$E$2:$E$501,"&lt;&gt;No")+COUNTIFS(Reservas!$G$2:$G$501,"*,"&amp;TEXT(A25,"000")&amp;",*",Reservas!$E$2:$E$501,"&lt;&gt;No")&gt;0,"vendido",IF(COUNTIF(Reservas!$G$2:$G$501,"*,"&amp;A25&amp;",*")+COUNTIF(Reservas!$G$2:$G$501,"*,"&amp;TEXT(A25,"00")&amp;",*")+COUNTIF(Reservas!$G$2:$G$501,"*,"&amp;TEXT(A25,"000")&amp;",*")&gt;0,"reservado","disponible"))</f>
        <v>disponible</v>
      </c>
    </row>
    <row r="26" customFormat="false" ht="15" hidden="false" customHeight="false" outlineLevel="0" collapsed="false">
      <c r="A26" s="13" t="n">
        <v>25</v>
      </c>
      <c r="B26" s="13" t="str">
        <f aca="false">IF(COUNTIFS(Reservas!$G$2:$G$501,"*,"&amp;A26&amp;",*",Reservas!$E$2:$E$501,"&lt;&gt;No")+COUNTIFS(Reservas!$G$2:$G$501,"*,"&amp;TEXT(A26,"00")&amp;",*",Reservas!$E$2:$E$501,"&lt;&gt;No")+COUNTIFS(Reservas!$G$2:$G$501,"*,"&amp;TEXT(A26,"000")&amp;",*",Reservas!$E$2:$E$501,"&lt;&gt;No")&gt;0,"vendido",IF(COUNTIF(Reservas!$G$2:$G$501,"*,"&amp;A26&amp;",*")+COUNTIF(Reservas!$G$2:$G$501,"*,"&amp;TEXT(A26,"00")&amp;",*")+COUNTIF(Reservas!$G$2:$G$501,"*,"&amp;TEXT(A26,"000")&amp;",*")&gt;0,"reservado","disponible"))</f>
        <v>disponible</v>
      </c>
    </row>
    <row r="27" customFormat="false" ht="15" hidden="false" customHeight="false" outlineLevel="0" collapsed="false">
      <c r="A27" s="13" t="n">
        <v>26</v>
      </c>
      <c r="B27" s="13" t="str">
        <f aca="false">IF(COUNTIFS(Reservas!$G$2:$G$501,"*,"&amp;A27&amp;",*",Reservas!$E$2:$E$501,"&lt;&gt;No")+COUNTIFS(Reservas!$G$2:$G$501,"*,"&amp;TEXT(A27,"00")&amp;",*",Reservas!$E$2:$E$501,"&lt;&gt;No")+COUNTIFS(Reservas!$G$2:$G$501,"*,"&amp;TEXT(A27,"000")&amp;",*",Reservas!$E$2:$E$501,"&lt;&gt;No")&gt;0,"vendido",IF(COUNTIF(Reservas!$G$2:$G$501,"*,"&amp;A27&amp;",*")+COUNTIF(Reservas!$G$2:$G$501,"*,"&amp;TEXT(A27,"00")&amp;",*")+COUNTIF(Reservas!$G$2:$G$501,"*,"&amp;TEXT(A27,"000")&amp;",*")&gt;0,"reservado","disponible"))</f>
        <v>disponible</v>
      </c>
    </row>
    <row r="28" customFormat="false" ht="15" hidden="false" customHeight="false" outlineLevel="0" collapsed="false">
      <c r="A28" s="13" t="n">
        <v>27</v>
      </c>
      <c r="B28" s="13" t="str">
        <f aca="false">IF(COUNTIFS(Reservas!$G$2:$G$501,"*,"&amp;A28&amp;",*",Reservas!$E$2:$E$501,"&lt;&gt;No")+COUNTIFS(Reservas!$G$2:$G$501,"*,"&amp;TEXT(A28,"00")&amp;",*",Reservas!$E$2:$E$501,"&lt;&gt;No")+COUNTIFS(Reservas!$G$2:$G$501,"*,"&amp;TEXT(A28,"000")&amp;",*",Reservas!$E$2:$E$501,"&lt;&gt;No")&gt;0,"vendido",IF(COUNTIF(Reservas!$G$2:$G$501,"*,"&amp;A28&amp;",*")+COUNTIF(Reservas!$G$2:$G$501,"*,"&amp;TEXT(A28,"00")&amp;",*")+COUNTIF(Reservas!$G$2:$G$501,"*,"&amp;TEXT(A28,"000")&amp;",*")&gt;0,"reservado","disponible"))</f>
        <v>disponible</v>
      </c>
    </row>
    <row r="29" customFormat="false" ht="15" hidden="false" customHeight="false" outlineLevel="0" collapsed="false">
      <c r="A29" s="13" t="n">
        <v>28</v>
      </c>
      <c r="B29" s="13" t="str">
        <f aca="false">IF(COUNTIFS(Reservas!$G$2:$G$501,"*,"&amp;A29&amp;",*",Reservas!$E$2:$E$501,"&lt;&gt;No")+COUNTIFS(Reservas!$G$2:$G$501,"*,"&amp;TEXT(A29,"00")&amp;",*",Reservas!$E$2:$E$501,"&lt;&gt;No")+COUNTIFS(Reservas!$G$2:$G$501,"*,"&amp;TEXT(A29,"000")&amp;",*",Reservas!$E$2:$E$501,"&lt;&gt;No")&gt;0,"vendido",IF(COUNTIF(Reservas!$G$2:$G$501,"*,"&amp;A29&amp;",*")+COUNTIF(Reservas!$G$2:$G$501,"*,"&amp;TEXT(A29,"00")&amp;",*")+COUNTIF(Reservas!$G$2:$G$501,"*,"&amp;TEXT(A29,"000")&amp;",*")&gt;0,"reservado","disponible"))</f>
        <v>vendido</v>
      </c>
    </row>
    <row r="30" customFormat="false" ht="15" hidden="false" customHeight="false" outlineLevel="0" collapsed="false">
      <c r="A30" s="13" t="n">
        <v>29</v>
      </c>
      <c r="B30" s="13" t="str">
        <f aca="false">IF(COUNTIFS(Reservas!$G$2:$G$501,"*,"&amp;A30&amp;",*",Reservas!$E$2:$E$501,"&lt;&gt;No")+COUNTIFS(Reservas!$G$2:$G$501,"*,"&amp;TEXT(A30,"00")&amp;",*",Reservas!$E$2:$E$501,"&lt;&gt;No")+COUNTIFS(Reservas!$G$2:$G$501,"*,"&amp;TEXT(A30,"000")&amp;",*",Reservas!$E$2:$E$501,"&lt;&gt;No")&gt;0,"vendido",IF(COUNTIF(Reservas!$G$2:$G$501,"*,"&amp;A30&amp;",*")+COUNTIF(Reservas!$G$2:$G$501,"*,"&amp;TEXT(A30,"00")&amp;",*")+COUNTIF(Reservas!$G$2:$G$501,"*,"&amp;TEXT(A30,"000")&amp;",*")&gt;0,"reservado","disponible"))</f>
        <v>disponible</v>
      </c>
    </row>
    <row r="31" customFormat="false" ht="15" hidden="false" customHeight="false" outlineLevel="0" collapsed="false">
      <c r="A31" s="13" t="n">
        <v>30</v>
      </c>
      <c r="B31" s="13" t="str">
        <f aca="false">IF(COUNTIFS(Reservas!$G$2:$G$501,"*,"&amp;A31&amp;",*",Reservas!$E$2:$E$501,"&lt;&gt;No")+COUNTIFS(Reservas!$G$2:$G$501,"*,"&amp;TEXT(A31,"00")&amp;",*",Reservas!$E$2:$E$501,"&lt;&gt;No")+COUNTIFS(Reservas!$G$2:$G$501,"*,"&amp;TEXT(A31,"000")&amp;",*",Reservas!$E$2:$E$501,"&lt;&gt;No")&gt;0,"vendido",IF(COUNTIF(Reservas!$G$2:$G$501,"*,"&amp;A31&amp;",*")+COUNTIF(Reservas!$G$2:$G$501,"*,"&amp;TEXT(A31,"00")&amp;",*")+COUNTIF(Reservas!$G$2:$G$501,"*,"&amp;TEXT(A31,"000")&amp;",*")&gt;0,"reservado","disponible"))</f>
        <v>vendido</v>
      </c>
    </row>
    <row r="32" customFormat="false" ht="15" hidden="false" customHeight="false" outlineLevel="0" collapsed="false">
      <c r="A32" s="13" t="n">
        <v>31</v>
      </c>
      <c r="B32" s="13" t="str">
        <f aca="false">IF(COUNTIFS(Reservas!$G$2:$G$501,"*,"&amp;A32&amp;",*",Reservas!$E$2:$E$501,"&lt;&gt;No")+COUNTIFS(Reservas!$G$2:$G$501,"*,"&amp;TEXT(A32,"00")&amp;",*",Reservas!$E$2:$E$501,"&lt;&gt;No")+COUNTIFS(Reservas!$G$2:$G$501,"*,"&amp;TEXT(A32,"000")&amp;",*",Reservas!$E$2:$E$501,"&lt;&gt;No")&gt;0,"vendido",IF(COUNTIF(Reservas!$G$2:$G$501,"*,"&amp;A32&amp;",*")+COUNTIF(Reservas!$G$2:$G$501,"*,"&amp;TEXT(A32,"00")&amp;",*")+COUNTIF(Reservas!$G$2:$G$501,"*,"&amp;TEXT(A32,"000")&amp;",*")&gt;0,"reservado","disponible"))</f>
        <v>disponible</v>
      </c>
    </row>
    <row r="33" customFormat="false" ht="15" hidden="false" customHeight="false" outlineLevel="0" collapsed="false">
      <c r="A33" s="13" t="n">
        <v>32</v>
      </c>
      <c r="B33" s="13" t="str">
        <f aca="false">IF(COUNTIFS(Reservas!$G$2:$G$501,"*,"&amp;A33&amp;",*",Reservas!$E$2:$E$501,"&lt;&gt;No")+COUNTIFS(Reservas!$G$2:$G$501,"*,"&amp;TEXT(A33,"00")&amp;",*",Reservas!$E$2:$E$501,"&lt;&gt;No")+COUNTIFS(Reservas!$G$2:$G$501,"*,"&amp;TEXT(A33,"000")&amp;",*",Reservas!$E$2:$E$501,"&lt;&gt;No")&gt;0,"vendido",IF(COUNTIF(Reservas!$G$2:$G$501,"*,"&amp;A33&amp;",*")+COUNTIF(Reservas!$G$2:$G$501,"*,"&amp;TEXT(A33,"00")&amp;",*")+COUNTIF(Reservas!$G$2:$G$501,"*,"&amp;TEXT(A33,"000")&amp;",*")&gt;0,"reservado","disponible"))</f>
        <v>disponible</v>
      </c>
    </row>
    <row r="34" customFormat="false" ht="15" hidden="false" customHeight="false" outlineLevel="0" collapsed="false">
      <c r="A34" s="13" t="n">
        <v>33</v>
      </c>
      <c r="B34" s="13" t="str">
        <f aca="false">IF(COUNTIFS(Reservas!$G$2:$G$501,"*,"&amp;A34&amp;",*",Reservas!$E$2:$E$501,"&lt;&gt;No")+COUNTIFS(Reservas!$G$2:$G$501,"*,"&amp;TEXT(A34,"00")&amp;",*",Reservas!$E$2:$E$501,"&lt;&gt;No")+COUNTIFS(Reservas!$G$2:$G$501,"*,"&amp;TEXT(A34,"000")&amp;",*",Reservas!$E$2:$E$501,"&lt;&gt;No")&gt;0,"vendido",IF(COUNTIF(Reservas!$G$2:$G$501,"*,"&amp;A34&amp;",*")+COUNTIF(Reservas!$G$2:$G$501,"*,"&amp;TEXT(A34,"00")&amp;",*")+COUNTIF(Reservas!$G$2:$G$501,"*,"&amp;TEXT(A34,"000")&amp;",*")&gt;0,"reservado","disponible"))</f>
        <v>vendido</v>
      </c>
    </row>
    <row r="35" customFormat="false" ht="15" hidden="false" customHeight="false" outlineLevel="0" collapsed="false">
      <c r="A35" s="13" t="n">
        <v>34</v>
      </c>
      <c r="B35" s="13" t="str">
        <f aca="false">IF(COUNTIFS(Reservas!$G$2:$G$501,"*,"&amp;A35&amp;",*",Reservas!$E$2:$E$501,"&lt;&gt;No")+COUNTIFS(Reservas!$G$2:$G$501,"*,"&amp;TEXT(A35,"00")&amp;",*",Reservas!$E$2:$E$501,"&lt;&gt;No")+COUNTIFS(Reservas!$G$2:$G$501,"*,"&amp;TEXT(A35,"000")&amp;",*",Reservas!$E$2:$E$501,"&lt;&gt;No")&gt;0,"vendido",IF(COUNTIF(Reservas!$G$2:$G$501,"*,"&amp;A35&amp;",*")+COUNTIF(Reservas!$G$2:$G$501,"*,"&amp;TEXT(A35,"00")&amp;",*")+COUNTIF(Reservas!$G$2:$G$501,"*,"&amp;TEXT(A35,"000")&amp;",*")&gt;0,"reservado","disponible"))</f>
        <v>disponible</v>
      </c>
    </row>
    <row r="36" customFormat="false" ht="15" hidden="false" customHeight="false" outlineLevel="0" collapsed="false">
      <c r="A36" s="13" t="n">
        <v>35</v>
      </c>
      <c r="B36" s="13" t="str">
        <f aca="false">IF(COUNTIFS(Reservas!$G$2:$G$501,"*,"&amp;A36&amp;",*",Reservas!$E$2:$E$501,"&lt;&gt;No")+COUNTIFS(Reservas!$G$2:$G$501,"*,"&amp;TEXT(A36,"00")&amp;",*",Reservas!$E$2:$E$501,"&lt;&gt;No")+COUNTIFS(Reservas!$G$2:$G$501,"*,"&amp;TEXT(A36,"000")&amp;",*",Reservas!$E$2:$E$501,"&lt;&gt;No")&gt;0,"vendido",IF(COUNTIF(Reservas!$G$2:$G$501,"*,"&amp;A36&amp;",*")+COUNTIF(Reservas!$G$2:$G$501,"*,"&amp;TEXT(A36,"00")&amp;",*")+COUNTIF(Reservas!$G$2:$G$501,"*,"&amp;TEXT(A36,"000")&amp;",*")&gt;0,"reservado","disponible"))</f>
        <v>disponible</v>
      </c>
    </row>
    <row r="37" customFormat="false" ht="15" hidden="false" customHeight="false" outlineLevel="0" collapsed="false">
      <c r="A37" s="13" t="n">
        <v>36</v>
      </c>
      <c r="B37" s="13" t="str">
        <f aca="false">IF(COUNTIFS(Reservas!$G$2:$G$501,"*,"&amp;A37&amp;",*",Reservas!$E$2:$E$501,"&lt;&gt;No")+COUNTIFS(Reservas!$G$2:$G$501,"*,"&amp;TEXT(A37,"00")&amp;",*",Reservas!$E$2:$E$501,"&lt;&gt;No")+COUNTIFS(Reservas!$G$2:$G$501,"*,"&amp;TEXT(A37,"000")&amp;",*",Reservas!$E$2:$E$501,"&lt;&gt;No")&gt;0,"vendido",IF(COUNTIF(Reservas!$G$2:$G$501,"*,"&amp;A37&amp;",*")+COUNTIF(Reservas!$G$2:$G$501,"*,"&amp;TEXT(A37,"00")&amp;",*")+COUNTIF(Reservas!$G$2:$G$501,"*,"&amp;TEXT(A37,"000")&amp;",*")&gt;0,"reservado","disponible"))</f>
        <v>disponible</v>
      </c>
    </row>
    <row r="38" customFormat="false" ht="15" hidden="false" customHeight="false" outlineLevel="0" collapsed="false">
      <c r="A38" s="13" t="n">
        <v>37</v>
      </c>
      <c r="B38" s="13" t="str">
        <f aca="false">IF(COUNTIFS(Reservas!$G$2:$G$501,"*,"&amp;A38&amp;",*",Reservas!$E$2:$E$501,"&lt;&gt;No")+COUNTIFS(Reservas!$G$2:$G$501,"*,"&amp;TEXT(A38,"00")&amp;",*",Reservas!$E$2:$E$501,"&lt;&gt;No")+COUNTIFS(Reservas!$G$2:$G$501,"*,"&amp;TEXT(A38,"000")&amp;",*",Reservas!$E$2:$E$501,"&lt;&gt;No")&gt;0,"vendido",IF(COUNTIF(Reservas!$G$2:$G$501,"*,"&amp;A38&amp;",*")+COUNTIF(Reservas!$G$2:$G$501,"*,"&amp;TEXT(A38,"00")&amp;",*")+COUNTIF(Reservas!$G$2:$G$501,"*,"&amp;TEXT(A38,"000")&amp;",*")&gt;0,"reservado","disponible"))</f>
        <v>disponible</v>
      </c>
    </row>
    <row r="39" customFormat="false" ht="15" hidden="false" customHeight="false" outlineLevel="0" collapsed="false">
      <c r="A39" s="13" t="n">
        <v>38</v>
      </c>
      <c r="B39" s="13" t="str">
        <f aca="false">IF(COUNTIFS(Reservas!$G$2:$G$501,"*,"&amp;A39&amp;",*",Reservas!$E$2:$E$501,"&lt;&gt;No")+COUNTIFS(Reservas!$G$2:$G$501,"*,"&amp;TEXT(A39,"00")&amp;",*",Reservas!$E$2:$E$501,"&lt;&gt;No")+COUNTIFS(Reservas!$G$2:$G$501,"*,"&amp;TEXT(A39,"000")&amp;",*",Reservas!$E$2:$E$501,"&lt;&gt;No")&gt;0,"vendido",IF(COUNTIF(Reservas!$G$2:$G$501,"*,"&amp;A39&amp;",*")+COUNTIF(Reservas!$G$2:$G$501,"*,"&amp;TEXT(A39,"00")&amp;",*")+COUNTIF(Reservas!$G$2:$G$501,"*,"&amp;TEXT(A39,"000")&amp;",*")&gt;0,"reservado","disponible"))</f>
        <v>disponible</v>
      </c>
    </row>
    <row r="40" customFormat="false" ht="15" hidden="false" customHeight="false" outlineLevel="0" collapsed="false">
      <c r="A40" s="13" t="n">
        <v>39</v>
      </c>
      <c r="B40" s="13" t="str">
        <f aca="false">IF(COUNTIFS(Reservas!$G$2:$G$501,"*,"&amp;A40&amp;",*",Reservas!$E$2:$E$501,"&lt;&gt;No")+COUNTIFS(Reservas!$G$2:$G$501,"*,"&amp;TEXT(A40,"00")&amp;",*",Reservas!$E$2:$E$501,"&lt;&gt;No")+COUNTIFS(Reservas!$G$2:$G$501,"*,"&amp;TEXT(A40,"000")&amp;",*",Reservas!$E$2:$E$501,"&lt;&gt;No")&gt;0,"vendido",IF(COUNTIF(Reservas!$G$2:$G$501,"*,"&amp;A40&amp;",*")+COUNTIF(Reservas!$G$2:$G$501,"*,"&amp;TEXT(A40,"00")&amp;",*")+COUNTIF(Reservas!$G$2:$G$501,"*,"&amp;TEXT(A40,"000")&amp;",*")&gt;0,"reservado","disponible"))</f>
        <v>disponible</v>
      </c>
    </row>
    <row r="41" customFormat="false" ht="15" hidden="false" customHeight="false" outlineLevel="0" collapsed="false">
      <c r="A41" s="13" t="n">
        <v>40</v>
      </c>
      <c r="B41" s="13" t="str">
        <f aca="false">IF(COUNTIFS(Reservas!$G$2:$G$501,"*,"&amp;A41&amp;",*",Reservas!$E$2:$E$501,"&lt;&gt;No")+COUNTIFS(Reservas!$G$2:$G$501,"*,"&amp;TEXT(A41,"00")&amp;",*",Reservas!$E$2:$E$501,"&lt;&gt;No")+COUNTIFS(Reservas!$G$2:$G$501,"*,"&amp;TEXT(A41,"000")&amp;",*",Reservas!$E$2:$E$501,"&lt;&gt;No")&gt;0,"vendido",IF(COUNTIF(Reservas!$G$2:$G$501,"*,"&amp;A41&amp;",*")+COUNTIF(Reservas!$G$2:$G$501,"*,"&amp;TEXT(A41,"00")&amp;",*")+COUNTIF(Reservas!$G$2:$G$501,"*,"&amp;TEXT(A41,"000")&amp;",*")&gt;0,"reservado","disponible"))</f>
        <v>disponible</v>
      </c>
    </row>
    <row r="42" customFormat="false" ht="15" hidden="false" customHeight="false" outlineLevel="0" collapsed="false">
      <c r="A42" s="13" t="n">
        <v>41</v>
      </c>
      <c r="B42" s="13" t="str">
        <f aca="false">IF(COUNTIFS(Reservas!$G$2:$G$501,"*,"&amp;A42&amp;",*",Reservas!$E$2:$E$501,"&lt;&gt;No")+COUNTIFS(Reservas!$G$2:$G$501,"*,"&amp;TEXT(A42,"00")&amp;",*",Reservas!$E$2:$E$501,"&lt;&gt;No")+COUNTIFS(Reservas!$G$2:$G$501,"*,"&amp;TEXT(A42,"000")&amp;",*",Reservas!$E$2:$E$501,"&lt;&gt;No")&gt;0,"vendido",IF(COUNTIF(Reservas!$G$2:$G$501,"*,"&amp;A42&amp;",*")+COUNTIF(Reservas!$G$2:$G$501,"*,"&amp;TEXT(A42,"00")&amp;",*")+COUNTIF(Reservas!$G$2:$G$501,"*,"&amp;TEXT(A42,"000")&amp;",*")&gt;0,"reservado","disponible"))</f>
        <v>disponible</v>
      </c>
    </row>
    <row r="43" customFormat="false" ht="15" hidden="false" customHeight="false" outlineLevel="0" collapsed="false">
      <c r="A43" s="13" t="n">
        <v>42</v>
      </c>
      <c r="B43" s="13" t="str">
        <f aca="false">IF(COUNTIFS(Reservas!$G$2:$G$501,"*,"&amp;A43&amp;",*",Reservas!$E$2:$E$501,"&lt;&gt;No")+COUNTIFS(Reservas!$G$2:$G$501,"*,"&amp;TEXT(A43,"00")&amp;",*",Reservas!$E$2:$E$501,"&lt;&gt;No")+COUNTIFS(Reservas!$G$2:$G$501,"*,"&amp;TEXT(A43,"000")&amp;",*",Reservas!$E$2:$E$501,"&lt;&gt;No")&gt;0,"vendido",IF(COUNTIF(Reservas!$G$2:$G$501,"*,"&amp;A43&amp;",*")+COUNTIF(Reservas!$G$2:$G$501,"*,"&amp;TEXT(A43,"00")&amp;",*")+COUNTIF(Reservas!$G$2:$G$501,"*,"&amp;TEXT(A43,"000")&amp;",*")&gt;0,"reservado","disponible"))</f>
        <v>disponible</v>
      </c>
    </row>
    <row r="44" customFormat="false" ht="15" hidden="false" customHeight="false" outlineLevel="0" collapsed="false">
      <c r="A44" s="13" t="n">
        <v>43</v>
      </c>
      <c r="B44" s="13" t="str">
        <f aca="false">IF(COUNTIFS(Reservas!$G$2:$G$501,"*,"&amp;A44&amp;",*",Reservas!$E$2:$E$501,"&lt;&gt;No")+COUNTIFS(Reservas!$G$2:$G$501,"*,"&amp;TEXT(A44,"00")&amp;",*",Reservas!$E$2:$E$501,"&lt;&gt;No")+COUNTIFS(Reservas!$G$2:$G$501,"*,"&amp;TEXT(A44,"000")&amp;",*",Reservas!$E$2:$E$501,"&lt;&gt;No")&gt;0,"vendido",IF(COUNTIF(Reservas!$G$2:$G$501,"*,"&amp;A44&amp;",*")+COUNTIF(Reservas!$G$2:$G$501,"*,"&amp;TEXT(A44,"00")&amp;",*")+COUNTIF(Reservas!$G$2:$G$501,"*,"&amp;TEXT(A44,"000")&amp;",*")&gt;0,"reservado","disponible"))</f>
        <v>disponible</v>
      </c>
    </row>
    <row r="45" customFormat="false" ht="15" hidden="false" customHeight="false" outlineLevel="0" collapsed="false">
      <c r="A45" s="13" t="n">
        <v>44</v>
      </c>
      <c r="B45" s="13" t="str">
        <f aca="false">IF(COUNTIFS(Reservas!$G$2:$G$501,"*,"&amp;A45&amp;",*",Reservas!$E$2:$E$501,"&lt;&gt;No")+COUNTIFS(Reservas!$G$2:$G$501,"*,"&amp;TEXT(A45,"00")&amp;",*",Reservas!$E$2:$E$501,"&lt;&gt;No")+COUNTIFS(Reservas!$G$2:$G$501,"*,"&amp;TEXT(A45,"000")&amp;",*",Reservas!$E$2:$E$501,"&lt;&gt;No")&gt;0,"vendido",IF(COUNTIF(Reservas!$G$2:$G$501,"*,"&amp;A45&amp;",*")+COUNTIF(Reservas!$G$2:$G$501,"*,"&amp;TEXT(A45,"00")&amp;",*")+COUNTIF(Reservas!$G$2:$G$501,"*,"&amp;TEXT(A45,"000")&amp;",*")&gt;0,"reservado","disponible"))</f>
        <v>disponible</v>
      </c>
    </row>
    <row r="46" customFormat="false" ht="15" hidden="false" customHeight="false" outlineLevel="0" collapsed="false">
      <c r="A46" s="13" t="n">
        <v>45</v>
      </c>
      <c r="B46" s="13" t="str">
        <f aca="false">IF(COUNTIFS(Reservas!$G$2:$G$501,"*,"&amp;A46&amp;",*",Reservas!$E$2:$E$501,"&lt;&gt;No")+COUNTIFS(Reservas!$G$2:$G$501,"*,"&amp;TEXT(A46,"00")&amp;",*",Reservas!$E$2:$E$501,"&lt;&gt;No")+COUNTIFS(Reservas!$G$2:$G$501,"*,"&amp;TEXT(A46,"000")&amp;",*",Reservas!$E$2:$E$501,"&lt;&gt;No")&gt;0,"vendido",IF(COUNTIF(Reservas!$G$2:$G$501,"*,"&amp;A46&amp;",*")+COUNTIF(Reservas!$G$2:$G$501,"*,"&amp;TEXT(A46,"00")&amp;",*")+COUNTIF(Reservas!$G$2:$G$501,"*,"&amp;TEXT(A46,"000")&amp;",*")&gt;0,"reservado","disponible"))</f>
        <v>disponible</v>
      </c>
    </row>
    <row r="47" customFormat="false" ht="15" hidden="false" customHeight="false" outlineLevel="0" collapsed="false">
      <c r="A47" s="13" t="n">
        <v>46</v>
      </c>
      <c r="B47" s="13" t="str">
        <f aca="false">IF(COUNTIFS(Reservas!$G$2:$G$501,"*,"&amp;A47&amp;",*",Reservas!$E$2:$E$501,"&lt;&gt;No")+COUNTIFS(Reservas!$G$2:$G$501,"*,"&amp;TEXT(A47,"00")&amp;",*",Reservas!$E$2:$E$501,"&lt;&gt;No")+COUNTIFS(Reservas!$G$2:$G$501,"*,"&amp;TEXT(A47,"000")&amp;",*",Reservas!$E$2:$E$501,"&lt;&gt;No")&gt;0,"vendido",IF(COUNTIF(Reservas!$G$2:$G$501,"*,"&amp;A47&amp;",*")+COUNTIF(Reservas!$G$2:$G$501,"*,"&amp;TEXT(A47,"00")&amp;",*")+COUNTIF(Reservas!$G$2:$G$501,"*,"&amp;TEXT(A47,"000")&amp;",*")&gt;0,"reservado","disponible"))</f>
        <v>disponible</v>
      </c>
    </row>
    <row r="48" customFormat="false" ht="15" hidden="false" customHeight="false" outlineLevel="0" collapsed="false">
      <c r="A48" s="13" t="n">
        <v>47</v>
      </c>
      <c r="B48" s="13" t="str">
        <f aca="false">IF(COUNTIFS(Reservas!$G$2:$G$501,"*,"&amp;A48&amp;",*",Reservas!$E$2:$E$501,"&lt;&gt;No")+COUNTIFS(Reservas!$G$2:$G$501,"*,"&amp;TEXT(A48,"00")&amp;",*",Reservas!$E$2:$E$501,"&lt;&gt;No")+COUNTIFS(Reservas!$G$2:$G$501,"*,"&amp;TEXT(A48,"000")&amp;",*",Reservas!$E$2:$E$501,"&lt;&gt;No")&gt;0,"vendido",IF(COUNTIF(Reservas!$G$2:$G$501,"*,"&amp;A48&amp;",*")+COUNTIF(Reservas!$G$2:$G$501,"*,"&amp;TEXT(A48,"00")&amp;",*")+COUNTIF(Reservas!$G$2:$G$501,"*,"&amp;TEXT(A48,"000")&amp;",*")&gt;0,"reservado","disponible"))</f>
        <v>disponible</v>
      </c>
    </row>
    <row r="49" customFormat="false" ht="15" hidden="false" customHeight="false" outlineLevel="0" collapsed="false">
      <c r="A49" s="13" t="n">
        <v>48</v>
      </c>
      <c r="B49" s="13" t="str">
        <f aca="false">IF(COUNTIFS(Reservas!$G$2:$G$501,"*,"&amp;A49&amp;",*",Reservas!$E$2:$E$501,"&lt;&gt;No")+COUNTIFS(Reservas!$G$2:$G$501,"*,"&amp;TEXT(A49,"00")&amp;",*",Reservas!$E$2:$E$501,"&lt;&gt;No")+COUNTIFS(Reservas!$G$2:$G$501,"*,"&amp;TEXT(A49,"000")&amp;",*",Reservas!$E$2:$E$501,"&lt;&gt;No")&gt;0,"vendido",IF(COUNTIF(Reservas!$G$2:$G$501,"*,"&amp;A49&amp;",*")+COUNTIF(Reservas!$G$2:$G$501,"*,"&amp;TEXT(A49,"00")&amp;",*")+COUNTIF(Reservas!$G$2:$G$501,"*,"&amp;TEXT(A49,"000")&amp;",*")&gt;0,"reservado","disponible"))</f>
        <v>vendido</v>
      </c>
    </row>
    <row r="50" customFormat="false" ht="15" hidden="false" customHeight="false" outlineLevel="0" collapsed="false">
      <c r="A50" s="13" t="n">
        <v>49</v>
      </c>
      <c r="B50" s="13" t="str">
        <f aca="false">IF(COUNTIFS(Reservas!$G$2:$G$501,"*,"&amp;A50&amp;",*",Reservas!$E$2:$E$501,"&lt;&gt;No")+COUNTIFS(Reservas!$G$2:$G$501,"*,"&amp;TEXT(A50,"00")&amp;",*",Reservas!$E$2:$E$501,"&lt;&gt;No")+COUNTIFS(Reservas!$G$2:$G$501,"*,"&amp;TEXT(A50,"000")&amp;",*",Reservas!$E$2:$E$501,"&lt;&gt;No")&gt;0,"vendido",IF(COUNTIF(Reservas!$G$2:$G$501,"*,"&amp;A50&amp;",*")+COUNTIF(Reservas!$G$2:$G$501,"*,"&amp;TEXT(A50,"00")&amp;",*")+COUNTIF(Reservas!$G$2:$G$501,"*,"&amp;TEXT(A50,"000")&amp;",*")&gt;0,"reservado","disponible"))</f>
        <v>vendido</v>
      </c>
    </row>
    <row r="51" customFormat="false" ht="15" hidden="false" customHeight="false" outlineLevel="0" collapsed="false">
      <c r="A51" s="13" t="n">
        <v>50</v>
      </c>
      <c r="B51" s="13" t="str">
        <f aca="false">IF(COUNTIFS(Reservas!$G$2:$G$501,"*,"&amp;A51&amp;",*",Reservas!$E$2:$E$501,"&lt;&gt;No")+COUNTIFS(Reservas!$G$2:$G$501,"*,"&amp;TEXT(A51,"00")&amp;",*",Reservas!$E$2:$E$501,"&lt;&gt;No")+COUNTIFS(Reservas!$G$2:$G$501,"*,"&amp;TEXT(A51,"000")&amp;",*",Reservas!$E$2:$E$501,"&lt;&gt;No")&gt;0,"vendido",IF(COUNTIF(Reservas!$G$2:$G$501,"*,"&amp;A51&amp;",*")+COUNTIF(Reservas!$G$2:$G$501,"*,"&amp;TEXT(A51,"00")&amp;",*")+COUNTIF(Reservas!$G$2:$G$501,"*,"&amp;TEXT(A51,"000")&amp;",*")&gt;0,"reservado","disponible"))</f>
        <v>disponible</v>
      </c>
    </row>
    <row r="52" customFormat="false" ht="15" hidden="false" customHeight="false" outlineLevel="0" collapsed="false">
      <c r="A52" s="13" t="n">
        <v>51</v>
      </c>
      <c r="B52" s="13" t="str">
        <f aca="false">IF(COUNTIFS(Reservas!$G$2:$G$501,"*,"&amp;A52&amp;",*",Reservas!$E$2:$E$501,"&lt;&gt;No")+COUNTIFS(Reservas!$G$2:$G$501,"*,"&amp;TEXT(A52,"00")&amp;",*",Reservas!$E$2:$E$501,"&lt;&gt;No")+COUNTIFS(Reservas!$G$2:$G$501,"*,"&amp;TEXT(A52,"000")&amp;",*",Reservas!$E$2:$E$501,"&lt;&gt;No")&gt;0,"vendido",IF(COUNTIF(Reservas!$G$2:$G$501,"*,"&amp;A52&amp;",*")+COUNTIF(Reservas!$G$2:$G$501,"*,"&amp;TEXT(A52,"00")&amp;",*")+COUNTIF(Reservas!$G$2:$G$501,"*,"&amp;TEXT(A52,"000")&amp;",*")&gt;0,"reservado","disponible"))</f>
        <v>disponible</v>
      </c>
    </row>
    <row r="53" customFormat="false" ht="15" hidden="false" customHeight="false" outlineLevel="0" collapsed="false">
      <c r="A53" s="13" t="n">
        <v>52</v>
      </c>
      <c r="B53" s="13" t="str">
        <f aca="false">IF(COUNTIFS(Reservas!$G$2:$G$501,"*,"&amp;A53&amp;",*",Reservas!$E$2:$E$501,"&lt;&gt;No")+COUNTIFS(Reservas!$G$2:$G$501,"*,"&amp;TEXT(A53,"00")&amp;",*",Reservas!$E$2:$E$501,"&lt;&gt;No")+COUNTIFS(Reservas!$G$2:$G$501,"*,"&amp;TEXT(A53,"000")&amp;",*",Reservas!$E$2:$E$501,"&lt;&gt;No")&gt;0,"vendido",IF(COUNTIF(Reservas!$G$2:$G$501,"*,"&amp;A53&amp;",*")+COUNTIF(Reservas!$G$2:$G$501,"*,"&amp;TEXT(A53,"00")&amp;",*")+COUNTIF(Reservas!$G$2:$G$501,"*,"&amp;TEXT(A53,"000")&amp;",*")&gt;0,"reservado","disponible"))</f>
        <v>disponible</v>
      </c>
    </row>
    <row r="54" customFormat="false" ht="15" hidden="false" customHeight="false" outlineLevel="0" collapsed="false">
      <c r="A54" s="13" t="n">
        <v>53</v>
      </c>
      <c r="B54" s="13" t="str">
        <f aca="false">IF(COUNTIFS(Reservas!$G$2:$G$501,"*,"&amp;A54&amp;",*",Reservas!$E$2:$E$501,"&lt;&gt;No")+COUNTIFS(Reservas!$G$2:$G$501,"*,"&amp;TEXT(A54,"00")&amp;",*",Reservas!$E$2:$E$501,"&lt;&gt;No")+COUNTIFS(Reservas!$G$2:$G$501,"*,"&amp;TEXT(A54,"000")&amp;",*",Reservas!$E$2:$E$501,"&lt;&gt;No")&gt;0,"vendido",IF(COUNTIF(Reservas!$G$2:$G$501,"*,"&amp;A54&amp;",*")+COUNTIF(Reservas!$G$2:$G$501,"*,"&amp;TEXT(A54,"00")&amp;",*")+COUNTIF(Reservas!$G$2:$G$501,"*,"&amp;TEXT(A54,"000")&amp;",*")&gt;0,"reservado","disponible"))</f>
        <v>disponible</v>
      </c>
    </row>
    <row r="55" customFormat="false" ht="15" hidden="false" customHeight="false" outlineLevel="0" collapsed="false">
      <c r="A55" s="13" t="n">
        <v>54</v>
      </c>
      <c r="B55" s="13" t="str">
        <f aca="false">IF(COUNTIFS(Reservas!$G$2:$G$501,"*,"&amp;A55&amp;",*",Reservas!$E$2:$E$501,"&lt;&gt;No")+COUNTIFS(Reservas!$G$2:$G$501,"*,"&amp;TEXT(A55,"00")&amp;",*",Reservas!$E$2:$E$501,"&lt;&gt;No")+COUNTIFS(Reservas!$G$2:$G$501,"*,"&amp;TEXT(A55,"000")&amp;",*",Reservas!$E$2:$E$501,"&lt;&gt;No")&gt;0,"vendido",IF(COUNTIF(Reservas!$G$2:$G$501,"*,"&amp;A55&amp;",*")+COUNTIF(Reservas!$G$2:$G$501,"*,"&amp;TEXT(A55,"00")&amp;",*")+COUNTIF(Reservas!$G$2:$G$501,"*,"&amp;TEXT(A55,"000")&amp;",*")&gt;0,"reservado","disponible"))</f>
        <v>disponible</v>
      </c>
    </row>
    <row r="56" customFormat="false" ht="15" hidden="false" customHeight="false" outlineLevel="0" collapsed="false">
      <c r="A56" s="13" t="n">
        <v>55</v>
      </c>
      <c r="B56" s="13" t="str">
        <f aca="false">IF(COUNTIFS(Reservas!$G$2:$G$501,"*,"&amp;A56&amp;",*",Reservas!$E$2:$E$501,"&lt;&gt;No")+COUNTIFS(Reservas!$G$2:$G$501,"*,"&amp;TEXT(A56,"00")&amp;",*",Reservas!$E$2:$E$501,"&lt;&gt;No")+COUNTIFS(Reservas!$G$2:$G$501,"*,"&amp;TEXT(A56,"000")&amp;",*",Reservas!$E$2:$E$501,"&lt;&gt;No")&gt;0,"vendido",IF(COUNTIF(Reservas!$G$2:$G$501,"*,"&amp;A56&amp;",*")+COUNTIF(Reservas!$G$2:$G$501,"*,"&amp;TEXT(A56,"00")&amp;",*")+COUNTIF(Reservas!$G$2:$G$501,"*,"&amp;TEXT(A56,"000")&amp;",*")&gt;0,"reservado","disponible"))</f>
        <v>disponible</v>
      </c>
    </row>
    <row r="57" customFormat="false" ht="15" hidden="false" customHeight="false" outlineLevel="0" collapsed="false">
      <c r="A57" s="13" t="n">
        <v>56</v>
      </c>
      <c r="B57" s="13" t="str">
        <f aca="false">IF(COUNTIFS(Reservas!$G$2:$G$501,"*,"&amp;A57&amp;",*",Reservas!$E$2:$E$501,"&lt;&gt;No")+COUNTIFS(Reservas!$G$2:$G$501,"*,"&amp;TEXT(A57,"00")&amp;",*",Reservas!$E$2:$E$501,"&lt;&gt;No")+COUNTIFS(Reservas!$G$2:$G$501,"*,"&amp;TEXT(A57,"000")&amp;",*",Reservas!$E$2:$E$501,"&lt;&gt;No")&gt;0,"vendido",IF(COUNTIF(Reservas!$G$2:$G$501,"*,"&amp;A57&amp;",*")+COUNTIF(Reservas!$G$2:$G$501,"*,"&amp;TEXT(A57,"00")&amp;",*")+COUNTIF(Reservas!$G$2:$G$501,"*,"&amp;TEXT(A57,"000")&amp;",*")&gt;0,"reservado","disponible"))</f>
        <v>disponible</v>
      </c>
    </row>
    <row r="58" customFormat="false" ht="15" hidden="false" customHeight="false" outlineLevel="0" collapsed="false">
      <c r="A58" s="13" t="n">
        <v>57</v>
      </c>
      <c r="B58" s="13" t="str">
        <f aca="false">IF(COUNTIFS(Reservas!$G$2:$G$501,"*,"&amp;A58&amp;",*",Reservas!$E$2:$E$501,"&lt;&gt;No")+COUNTIFS(Reservas!$G$2:$G$501,"*,"&amp;TEXT(A58,"00")&amp;",*",Reservas!$E$2:$E$501,"&lt;&gt;No")+COUNTIFS(Reservas!$G$2:$G$501,"*,"&amp;TEXT(A58,"000")&amp;",*",Reservas!$E$2:$E$501,"&lt;&gt;No")&gt;0,"vendido",IF(COUNTIF(Reservas!$G$2:$G$501,"*,"&amp;A58&amp;",*")+COUNTIF(Reservas!$G$2:$G$501,"*,"&amp;TEXT(A58,"00")&amp;",*")+COUNTIF(Reservas!$G$2:$G$501,"*,"&amp;TEXT(A58,"000")&amp;",*")&gt;0,"reservado","disponible"))</f>
        <v>disponible</v>
      </c>
    </row>
    <row r="59" customFormat="false" ht="15" hidden="false" customHeight="false" outlineLevel="0" collapsed="false">
      <c r="A59" s="13" t="n">
        <v>58</v>
      </c>
      <c r="B59" s="13" t="str">
        <f aca="false">IF(COUNTIFS(Reservas!$G$2:$G$501,"*,"&amp;A59&amp;",*",Reservas!$E$2:$E$501,"&lt;&gt;No")+COUNTIFS(Reservas!$G$2:$G$501,"*,"&amp;TEXT(A59,"00")&amp;",*",Reservas!$E$2:$E$501,"&lt;&gt;No")+COUNTIFS(Reservas!$G$2:$G$501,"*,"&amp;TEXT(A59,"000")&amp;",*",Reservas!$E$2:$E$501,"&lt;&gt;No")&gt;0,"vendido",IF(COUNTIF(Reservas!$G$2:$G$501,"*,"&amp;A59&amp;",*")+COUNTIF(Reservas!$G$2:$G$501,"*,"&amp;TEXT(A59,"00")&amp;",*")+COUNTIF(Reservas!$G$2:$G$501,"*,"&amp;TEXT(A59,"000")&amp;",*")&gt;0,"reservado","disponible"))</f>
        <v>disponible</v>
      </c>
    </row>
    <row r="60" customFormat="false" ht="15" hidden="false" customHeight="false" outlineLevel="0" collapsed="false">
      <c r="A60" s="13" t="n">
        <v>59</v>
      </c>
      <c r="B60" s="13" t="str">
        <f aca="false">IF(COUNTIFS(Reservas!$G$2:$G$501,"*,"&amp;A60&amp;",*",Reservas!$E$2:$E$501,"&lt;&gt;No")+COUNTIFS(Reservas!$G$2:$G$501,"*,"&amp;TEXT(A60,"00")&amp;",*",Reservas!$E$2:$E$501,"&lt;&gt;No")+COUNTIFS(Reservas!$G$2:$G$501,"*,"&amp;TEXT(A60,"000")&amp;",*",Reservas!$E$2:$E$501,"&lt;&gt;No")&gt;0,"vendido",IF(COUNTIF(Reservas!$G$2:$G$501,"*,"&amp;A60&amp;",*")+COUNTIF(Reservas!$G$2:$G$501,"*,"&amp;TEXT(A60,"00")&amp;",*")+COUNTIF(Reservas!$G$2:$G$501,"*,"&amp;TEXT(A60,"000")&amp;",*")&gt;0,"reservado","disponible"))</f>
        <v>disponible</v>
      </c>
    </row>
    <row r="61" customFormat="false" ht="15" hidden="false" customHeight="false" outlineLevel="0" collapsed="false">
      <c r="A61" s="13" t="n">
        <v>60</v>
      </c>
      <c r="B61" s="13" t="str">
        <f aca="false">IF(COUNTIFS(Reservas!$G$2:$G$501,"*,"&amp;A61&amp;",*",Reservas!$E$2:$E$501,"&lt;&gt;No")+COUNTIFS(Reservas!$G$2:$G$501,"*,"&amp;TEXT(A61,"00")&amp;",*",Reservas!$E$2:$E$501,"&lt;&gt;No")+COUNTIFS(Reservas!$G$2:$G$501,"*,"&amp;TEXT(A61,"000")&amp;",*",Reservas!$E$2:$E$501,"&lt;&gt;No")&gt;0,"vendido",IF(COUNTIF(Reservas!$G$2:$G$501,"*,"&amp;A61&amp;",*")+COUNTIF(Reservas!$G$2:$G$501,"*,"&amp;TEXT(A61,"00")&amp;",*")+COUNTIF(Reservas!$G$2:$G$501,"*,"&amp;TEXT(A61,"000")&amp;",*")&gt;0,"reservado","disponible"))</f>
        <v>disponible</v>
      </c>
    </row>
    <row r="62" customFormat="false" ht="15" hidden="false" customHeight="false" outlineLevel="0" collapsed="false">
      <c r="A62" s="13" t="n">
        <v>61</v>
      </c>
      <c r="B62" s="13" t="str">
        <f aca="false">IF(COUNTIFS(Reservas!$G$2:$G$501,"*,"&amp;A62&amp;",*",Reservas!$E$2:$E$501,"&lt;&gt;No")+COUNTIFS(Reservas!$G$2:$G$501,"*,"&amp;TEXT(A62,"00")&amp;",*",Reservas!$E$2:$E$501,"&lt;&gt;No")+COUNTIFS(Reservas!$G$2:$G$501,"*,"&amp;TEXT(A62,"000")&amp;",*",Reservas!$E$2:$E$501,"&lt;&gt;No")&gt;0,"vendido",IF(COUNTIF(Reservas!$G$2:$G$501,"*,"&amp;A62&amp;",*")+COUNTIF(Reservas!$G$2:$G$501,"*,"&amp;TEXT(A62,"00")&amp;",*")+COUNTIF(Reservas!$G$2:$G$501,"*,"&amp;TEXT(A62,"000")&amp;",*")&gt;0,"reservado","disponible"))</f>
        <v>disponible</v>
      </c>
    </row>
    <row r="63" customFormat="false" ht="15" hidden="false" customHeight="false" outlineLevel="0" collapsed="false">
      <c r="A63" s="13" t="n">
        <v>62</v>
      </c>
      <c r="B63" s="13" t="str">
        <f aca="false">IF(COUNTIFS(Reservas!$G$2:$G$501,"*,"&amp;A63&amp;",*",Reservas!$E$2:$E$501,"&lt;&gt;No")+COUNTIFS(Reservas!$G$2:$G$501,"*,"&amp;TEXT(A63,"00")&amp;",*",Reservas!$E$2:$E$501,"&lt;&gt;No")+COUNTIFS(Reservas!$G$2:$G$501,"*,"&amp;TEXT(A63,"000")&amp;",*",Reservas!$E$2:$E$501,"&lt;&gt;No")&gt;0,"vendido",IF(COUNTIF(Reservas!$G$2:$G$501,"*,"&amp;A63&amp;",*")+COUNTIF(Reservas!$G$2:$G$501,"*,"&amp;TEXT(A63,"00")&amp;",*")+COUNTIF(Reservas!$G$2:$G$501,"*,"&amp;TEXT(A63,"000")&amp;",*")&gt;0,"reservado","disponible"))</f>
        <v>disponible</v>
      </c>
    </row>
    <row r="64" customFormat="false" ht="15" hidden="false" customHeight="false" outlineLevel="0" collapsed="false">
      <c r="A64" s="13" t="n">
        <v>63</v>
      </c>
      <c r="B64" s="13" t="str">
        <f aca="false">IF(COUNTIFS(Reservas!$G$2:$G$501,"*,"&amp;A64&amp;",*",Reservas!$E$2:$E$501,"&lt;&gt;No")+COUNTIFS(Reservas!$G$2:$G$501,"*,"&amp;TEXT(A64,"00")&amp;",*",Reservas!$E$2:$E$501,"&lt;&gt;No")+COUNTIFS(Reservas!$G$2:$G$501,"*,"&amp;TEXT(A64,"000")&amp;",*",Reservas!$E$2:$E$501,"&lt;&gt;No")&gt;0,"vendido",IF(COUNTIF(Reservas!$G$2:$G$501,"*,"&amp;A64&amp;",*")+COUNTIF(Reservas!$G$2:$G$501,"*,"&amp;TEXT(A64,"00")&amp;",*")+COUNTIF(Reservas!$G$2:$G$501,"*,"&amp;TEXT(A64,"000")&amp;",*")&gt;0,"reservado","disponible"))</f>
        <v>disponible</v>
      </c>
    </row>
    <row r="65" customFormat="false" ht="15" hidden="false" customHeight="false" outlineLevel="0" collapsed="false">
      <c r="A65" s="13" t="n">
        <v>64</v>
      </c>
      <c r="B65" s="13" t="str">
        <f aca="false">IF(COUNTIFS(Reservas!$G$2:$G$501,"*,"&amp;A65&amp;",*",Reservas!$E$2:$E$501,"&lt;&gt;No")+COUNTIFS(Reservas!$G$2:$G$501,"*,"&amp;TEXT(A65,"00")&amp;",*",Reservas!$E$2:$E$501,"&lt;&gt;No")+COUNTIFS(Reservas!$G$2:$G$501,"*,"&amp;TEXT(A65,"000")&amp;",*",Reservas!$E$2:$E$501,"&lt;&gt;No")&gt;0,"vendido",IF(COUNTIF(Reservas!$G$2:$G$501,"*,"&amp;A65&amp;",*")+COUNTIF(Reservas!$G$2:$G$501,"*,"&amp;TEXT(A65,"00")&amp;",*")+COUNTIF(Reservas!$G$2:$G$501,"*,"&amp;TEXT(A65,"000")&amp;",*")&gt;0,"reservado","disponible"))</f>
        <v>disponible</v>
      </c>
    </row>
    <row r="66" customFormat="false" ht="15" hidden="false" customHeight="false" outlineLevel="0" collapsed="false">
      <c r="A66" s="13" t="n">
        <v>65</v>
      </c>
      <c r="B66" s="13" t="str">
        <f aca="false">IF(COUNTIFS(Reservas!$G$2:$G$501,"*,"&amp;A66&amp;",*",Reservas!$E$2:$E$501,"&lt;&gt;No")+COUNTIFS(Reservas!$G$2:$G$501,"*,"&amp;TEXT(A66,"00")&amp;",*",Reservas!$E$2:$E$501,"&lt;&gt;No")+COUNTIFS(Reservas!$G$2:$G$501,"*,"&amp;TEXT(A66,"000")&amp;",*",Reservas!$E$2:$E$501,"&lt;&gt;No")&gt;0,"vendido",IF(COUNTIF(Reservas!$G$2:$G$501,"*,"&amp;A66&amp;",*")+COUNTIF(Reservas!$G$2:$G$501,"*,"&amp;TEXT(A66,"00")&amp;",*")+COUNTIF(Reservas!$G$2:$G$501,"*,"&amp;TEXT(A66,"000")&amp;",*")&gt;0,"reservado","disponible"))</f>
        <v>disponible</v>
      </c>
    </row>
    <row r="67" customFormat="false" ht="15" hidden="false" customHeight="false" outlineLevel="0" collapsed="false">
      <c r="A67" s="13" t="n">
        <v>66</v>
      </c>
      <c r="B67" s="13" t="str">
        <f aca="false">IF(COUNTIFS(Reservas!$G$2:$G$501,"*,"&amp;A67&amp;",*",Reservas!$E$2:$E$501,"&lt;&gt;No")+COUNTIFS(Reservas!$G$2:$G$501,"*,"&amp;TEXT(A67,"00")&amp;",*",Reservas!$E$2:$E$501,"&lt;&gt;No")+COUNTIFS(Reservas!$G$2:$G$501,"*,"&amp;TEXT(A67,"000")&amp;",*",Reservas!$E$2:$E$501,"&lt;&gt;No")&gt;0,"vendido",IF(COUNTIF(Reservas!$G$2:$G$501,"*,"&amp;A67&amp;",*")+COUNTIF(Reservas!$G$2:$G$501,"*,"&amp;TEXT(A67,"00")&amp;",*")+COUNTIF(Reservas!$G$2:$G$501,"*,"&amp;TEXT(A67,"000")&amp;",*")&gt;0,"reservado","disponible"))</f>
        <v>disponible</v>
      </c>
    </row>
    <row r="68" customFormat="false" ht="15" hidden="false" customHeight="false" outlineLevel="0" collapsed="false">
      <c r="A68" s="13" t="n">
        <v>67</v>
      </c>
      <c r="B68" s="13" t="str">
        <f aca="false">IF(COUNTIFS(Reservas!$G$2:$G$501,"*,"&amp;A68&amp;",*",Reservas!$E$2:$E$501,"&lt;&gt;No")+COUNTIFS(Reservas!$G$2:$G$501,"*,"&amp;TEXT(A68,"00")&amp;",*",Reservas!$E$2:$E$501,"&lt;&gt;No")+COUNTIFS(Reservas!$G$2:$G$501,"*,"&amp;TEXT(A68,"000")&amp;",*",Reservas!$E$2:$E$501,"&lt;&gt;No")&gt;0,"vendido",IF(COUNTIF(Reservas!$G$2:$G$501,"*,"&amp;A68&amp;",*")+COUNTIF(Reservas!$G$2:$G$501,"*,"&amp;TEXT(A68,"00")&amp;",*")+COUNTIF(Reservas!$G$2:$G$501,"*,"&amp;TEXT(A68,"000")&amp;",*")&gt;0,"reservado","disponible"))</f>
        <v>disponible</v>
      </c>
    </row>
    <row r="69" customFormat="false" ht="15" hidden="false" customHeight="false" outlineLevel="0" collapsed="false">
      <c r="A69" s="13" t="n">
        <v>68</v>
      </c>
      <c r="B69" s="13" t="str">
        <f aca="false">IF(COUNTIFS(Reservas!$G$2:$G$501,"*,"&amp;A69&amp;",*",Reservas!$E$2:$E$501,"&lt;&gt;No")+COUNTIFS(Reservas!$G$2:$G$501,"*,"&amp;TEXT(A69,"00")&amp;",*",Reservas!$E$2:$E$501,"&lt;&gt;No")+COUNTIFS(Reservas!$G$2:$G$501,"*,"&amp;TEXT(A69,"000")&amp;",*",Reservas!$E$2:$E$501,"&lt;&gt;No")&gt;0,"vendido",IF(COUNTIF(Reservas!$G$2:$G$501,"*,"&amp;A69&amp;",*")+COUNTIF(Reservas!$G$2:$G$501,"*,"&amp;TEXT(A69,"00")&amp;",*")+COUNTIF(Reservas!$G$2:$G$501,"*,"&amp;TEXT(A69,"000")&amp;",*")&gt;0,"reservado","disponible"))</f>
        <v>vendido</v>
      </c>
    </row>
    <row r="70" customFormat="false" ht="15" hidden="false" customHeight="false" outlineLevel="0" collapsed="false">
      <c r="A70" s="13" t="n">
        <v>69</v>
      </c>
      <c r="B70" s="13" t="str">
        <f aca="false">IF(COUNTIFS(Reservas!$G$2:$G$501,"*,"&amp;A70&amp;",*",Reservas!$E$2:$E$501,"&lt;&gt;No")+COUNTIFS(Reservas!$G$2:$G$501,"*,"&amp;TEXT(A70,"00")&amp;",*",Reservas!$E$2:$E$501,"&lt;&gt;No")+COUNTIFS(Reservas!$G$2:$G$501,"*,"&amp;TEXT(A70,"000")&amp;",*",Reservas!$E$2:$E$501,"&lt;&gt;No")&gt;0,"vendido",IF(COUNTIF(Reservas!$G$2:$G$501,"*,"&amp;A70&amp;",*")+COUNTIF(Reservas!$G$2:$G$501,"*,"&amp;TEXT(A70,"00")&amp;",*")+COUNTIF(Reservas!$G$2:$G$501,"*,"&amp;TEXT(A70,"000")&amp;",*")&gt;0,"reservado","disponible"))</f>
        <v>disponible</v>
      </c>
    </row>
    <row r="71" customFormat="false" ht="15" hidden="false" customHeight="false" outlineLevel="0" collapsed="false">
      <c r="A71" s="13" t="n">
        <v>70</v>
      </c>
      <c r="B71" s="13" t="str">
        <f aca="false">IF(COUNTIFS(Reservas!$G$2:$G$501,"*,"&amp;A71&amp;",*",Reservas!$E$2:$E$501,"&lt;&gt;No")+COUNTIFS(Reservas!$G$2:$G$501,"*,"&amp;TEXT(A71,"00")&amp;",*",Reservas!$E$2:$E$501,"&lt;&gt;No")+COUNTIFS(Reservas!$G$2:$G$501,"*,"&amp;TEXT(A71,"000")&amp;",*",Reservas!$E$2:$E$501,"&lt;&gt;No")&gt;0,"vendido",IF(COUNTIF(Reservas!$G$2:$G$501,"*,"&amp;A71&amp;",*")+COUNTIF(Reservas!$G$2:$G$501,"*,"&amp;TEXT(A71,"00")&amp;",*")+COUNTIF(Reservas!$G$2:$G$501,"*,"&amp;TEXT(A71,"000")&amp;",*")&gt;0,"reservado","disponible"))</f>
        <v>disponible</v>
      </c>
    </row>
    <row r="72" customFormat="false" ht="15" hidden="false" customHeight="false" outlineLevel="0" collapsed="false">
      <c r="A72" s="13" t="n">
        <v>71</v>
      </c>
      <c r="B72" s="13" t="str">
        <f aca="false">IF(COUNTIFS(Reservas!$G$2:$G$501,"*,"&amp;A72&amp;",*",Reservas!$E$2:$E$501,"&lt;&gt;No")+COUNTIFS(Reservas!$G$2:$G$501,"*,"&amp;TEXT(A72,"00")&amp;",*",Reservas!$E$2:$E$501,"&lt;&gt;No")+COUNTIFS(Reservas!$G$2:$G$501,"*,"&amp;TEXT(A72,"000")&amp;",*",Reservas!$E$2:$E$501,"&lt;&gt;No")&gt;0,"vendido",IF(COUNTIF(Reservas!$G$2:$G$501,"*,"&amp;A72&amp;",*")+COUNTIF(Reservas!$G$2:$G$501,"*,"&amp;TEXT(A72,"00")&amp;",*")+COUNTIF(Reservas!$G$2:$G$501,"*,"&amp;TEXT(A72,"000")&amp;",*")&gt;0,"reservado","disponible"))</f>
        <v>disponible</v>
      </c>
    </row>
    <row r="73" customFormat="false" ht="15" hidden="false" customHeight="false" outlineLevel="0" collapsed="false">
      <c r="A73" s="13" t="n">
        <v>72</v>
      </c>
      <c r="B73" s="13" t="str">
        <f aca="false">IF(COUNTIFS(Reservas!$G$2:$G$501,"*,"&amp;A73&amp;",*",Reservas!$E$2:$E$501,"&lt;&gt;No")+COUNTIFS(Reservas!$G$2:$G$501,"*,"&amp;TEXT(A73,"00")&amp;",*",Reservas!$E$2:$E$501,"&lt;&gt;No")+COUNTIFS(Reservas!$G$2:$G$501,"*,"&amp;TEXT(A73,"000")&amp;",*",Reservas!$E$2:$E$501,"&lt;&gt;No")&gt;0,"vendido",IF(COUNTIF(Reservas!$G$2:$G$501,"*,"&amp;A73&amp;",*")+COUNTIF(Reservas!$G$2:$G$501,"*,"&amp;TEXT(A73,"00")&amp;",*")+COUNTIF(Reservas!$G$2:$G$501,"*,"&amp;TEXT(A73,"000")&amp;",*")&gt;0,"reservado","disponible"))</f>
        <v>disponible</v>
      </c>
    </row>
    <row r="74" customFormat="false" ht="15" hidden="false" customHeight="false" outlineLevel="0" collapsed="false">
      <c r="A74" s="13" t="n">
        <v>73</v>
      </c>
      <c r="B74" s="13" t="str">
        <f aca="false">IF(COUNTIFS(Reservas!$G$2:$G$501,"*,"&amp;A74&amp;",*",Reservas!$E$2:$E$501,"&lt;&gt;No")+COUNTIFS(Reservas!$G$2:$G$501,"*,"&amp;TEXT(A74,"00")&amp;",*",Reservas!$E$2:$E$501,"&lt;&gt;No")+COUNTIFS(Reservas!$G$2:$G$501,"*,"&amp;TEXT(A74,"000")&amp;",*",Reservas!$E$2:$E$501,"&lt;&gt;No")&gt;0,"vendido",IF(COUNTIF(Reservas!$G$2:$G$501,"*,"&amp;A74&amp;",*")+COUNTIF(Reservas!$G$2:$G$501,"*,"&amp;TEXT(A74,"00")&amp;",*")+COUNTIF(Reservas!$G$2:$G$501,"*,"&amp;TEXT(A74,"000")&amp;",*")&gt;0,"reservado","disponible"))</f>
        <v>disponible</v>
      </c>
    </row>
    <row r="75" customFormat="false" ht="15" hidden="false" customHeight="false" outlineLevel="0" collapsed="false">
      <c r="A75" s="13" t="n">
        <v>74</v>
      </c>
      <c r="B75" s="13" t="str">
        <f aca="false">IF(COUNTIFS(Reservas!$G$2:$G$501,"*,"&amp;A75&amp;",*",Reservas!$E$2:$E$501,"&lt;&gt;No")+COUNTIFS(Reservas!$G$2:$G$501,"*,"&amp;TEXT(A75,"00")&amp;",*",Reservas!$E$2:$E$501,"&lt;&gt;No")+COUNTIFS(Reservas!$G$2:$G$501,"*,"&amp;TEXT(A75,"000")&amp;",*",Reservas!$E$2:$E$501,"&lt;&gt;No")&gt;0,"vendido",IF(COUNTIF(Reservas!$G$2:$G$501,"*,"&amp;A75&amp;",*")+COUNTIF(Reservas!$G$2:$G$501,"*,"&amp;TEXT(A75,"00")&amp;",*")+COUNTIF(Reservas!$G$2:$G$501,"*,"&amp;TEXT(A75,"000")&amp;",*")&gt;0,"reservado","disponible"))</f>
        <v>vendido</v>
      </c>
    </row>
    <row r="76" customFormat="false" ht="15" hidden="false" customHeight="false" outlineLevel="0" collapsed="false">
      <c r="A76" s="13" t="n">
        <v>75</v>
      </c>
      <c r="B76" s="13" t="str">
        <f aca="false">IF(COUNTIFS(Reservas!$G$2:$G$501,"*,"&amp;A76&amp;",*",Reservas!$E$2:$E$501,"&lt;&gt;No")+COUNTIFS(Reservas!$G$2:$G$501,"*,"&amp;TEXT(A76,"00")&amp;",*",Reservas!$E$2:$E$501,"&lt;&gt;No")+COUNTIFS(Reservas!$G$2:$G$501,"*,"&amp;TEXT(A76,"000")&amp;",*",Reservas!$E$2:$E$501,"&lt;&gt;No")&gt;0,"vendido",IF(COUNTIF(Reservas!$G$2:$G$501,"*,"&amp;A76&amp;",*")+COUNTIF(Reservas!$G$2:$G$501,"*,"&amp;TEXT(A76,"00")&amp;",*")+COUNTIF(Reservas!$G$2:$G$501,"*,"&amp;TEXT(A76,"000")&amp;",*")&gt;0,"reservado","disponible"))</f>
        <v>vendido</v>
      </c>
    </row>
    <row r="77" customFormat="false" ht="15" hidden="false" customHeight="false" outlineLevel="0" collapsed="false">
      <c r="A77" s="13" t="n">
        <v>76</v>
      </c>
      <c r="B77" s="13" t="str">
        <f aca="false">IF(COUNTIFS(Reservas!$G$2:$G$501,"*,"&amp;A77&amp;",*",Reservas!$E$2:$E$501,"&lt;&gt;No")+COUNTIFS(Reservas!$G$2:$G$501,"*,"&amp;TEXT(A77,"00")&amp;",*",Reservas!$E$2:$E$501,"&lt;&gt;No")+COUNTIFS(Reservas!$G$2:$G$501,"*,"&amp;TEXT(A77,"000")&amp;",*",Reservas!$E$2:$E$501,"&lt;&gt;No")&gt;0,"vendido",IF(COUNTIF(Reservas!$G$2:$G$501,"*,"&amp;A77&amp;",*")+COUNTIF(Reservas!$G$2:$G$501,"*,"&amp;TEXT(A77,"00")&amp;",*")+COUNTIF(Reservas!$G$2:$G$501,"*,"&amp;TEXT(A77,"000")&amp;",*")&gt;0,"reservado","disponible"))</f>
        <v>disponible</v>
      </c>
    </row>
    <row r="78" customFormat="false" ht="15" hidden="false" customHeight="false" outlineLevel="0" collapsed="false">
      <c r="A78" s="13" t="n">
        <v>77</v>
      </c>
      <c r="B78" s="13" t="str">
        <f aca="false">IF(COUNTIFS(Reservas!$G$2:$G$501,"*,"&amp;A78&amp;",*",Reservas!$E$2:$E$501,"&lt;&gt;No")+COUNTIFS(Reservas!$G$2:$G$501,"*,"&amp;TEXT(A78,"00")&amp;",*",Reservas!$E$2:$E$501,"&lt;&gt;No")+COUNTIFS(Reservas!$G$2:$G$501,"*,"&amp;TEXT(A78,"000")&amp;",*",Reservas!$E$2:$E$501,"&lt;&gt;No")&gt;0,"vendido",IF(COUNTIF(Reservas!$G$2:$G$501,"*,"&amp;A78&amp;",*")+COUNTIF(Reservas!$G$2:$G$501,"*,"&amp;TEXT(A78,"00")&amp;",*")+COUNTIF(Reservas!$G$2:$G$501,"*,"&amp;TEXT(A78,"000")&amp;",*")&gt;0,"reservado","disponible"))</f>
        <v>vendido</v>
      </c>
    </row>
    <row r="79" customFormat="false" ht="15" hidden="false" customHeight="false" outlineLevel="0" collapsed="false">
      <c r="A79" s="13" t="n">
        <v>78</v>
      </c>
      <c r="B79" s="13" t="str">
        <f aca="false">IF(COUNTIFS(Reservas!$G$2:$G$501,"*,"&amp;A79&amp;",*",Reservas!$E$2:$E$501,"&lt;&gt;No")+COUNTIFS(Reservas!$G$2:$G$501,"*,"&amp;TEXT(A79,"00")&amp;",*",Reservas!$E$2:$E$501,"&lt;&gt;No")+COUNTIFS(Reservas!$G$2:$G$501,"*,"&amp;TEXT(A79,"000")&amp;",*",Reservas!$E$2:$E$501,"&lt;&gt;No")&gt;0,"vendido",IF(COUNTIF(Reservas!$G$2:$G$501,"*,"&amp;A79&amp;",*")+COUNTIF(Reservas!$G$2:$G$501,"*,"&amp;TEXT(A79,"00")&amp;",*")+COUNTIF(Reservas!$G$2:$G$501,"*,"&amp;TEXT(A79,"000")&amp;",*")&gt;0,"reservado","disponible"))</f>
        <v>disponible</v>
      </c>
    </row>
    <row r="80" customFormat="false" ht="15" hidden="false" customHeight="false" outlineLevel="0" collapsed="false">
      <c r="A80" s="13" t="n">
        <v>79</v>
      </c>
      <c r="B80" s="13" t="str">
        <f aca="false">IF(COUNTIFS(Reservas!$G$2:$G$501,"*,"&amp;A80&amp;",*",Reservas!$E$2:$E$501,"&lt;&gt;No")+COUNTIFS(Reservas!$G$2:$G$501,"*,"&amp;TEXT(A80,"00")&amp;",*",Reservas!$E$2:$E$501,"&lt;&gt;No")+COUNTIFS(Reservas!$G$2:$G$501,"*,"&amp;TEXT(A80,"000")&amp;",*",Reservas!$E$2:$E$501,"&lt;&gt;No")&gt;0,"vendido",IF(COUNTIF(Reservas!$G$2:$G$501,"*,"&amp;A80&amp;",*")+COUNTIF(Reservas!$G$2:$G$501,"*,"&amp;TEXT(A80,"00")&amp;",*")+COUNTIF(Reservas!$G$2:$G$501,"*,"&amp;TEXT(A80,"000")&amp;",*")&gt;0,"reservado","disponible"))</f>
        <v>disponible</v>
      </c>
    </row>
    <row r="81" customFormat="false" ht="15" hidden="false" customHeight="false" outlineLevel="0" collapsed="false">
      <c r="A81" s="13" t="n">
        <v>80</v>
      </c>
      <c r="B81" s="13" t="str">
        <f aca="false">IF(COUNTIFS(Reservas!$G$2:$G$501,"*,"&amp;A81&amp;",*",Reservas!$E$2:$E$501,"&lt;&gt;No")+COUNTIFS(Reservas!$G$2:$G$501,"*,"&amp;TEXT(A81,"00")&amp;",*",Reservas!$E$2:$E$501,"&lt;&gt;No")+COUNTIFS(Reservas!$G$2:$G$501,"*,"&amp;TEXT(A81,"000")&amp;",*",Reservas!$E$2:$E$501,"&lt;&gt;No")&gt;0,"vendido",IF(COUNTIF(Reservas!$G$2:$G$501,"*,"&amp;A81&amp;",*")+COUNTIF(Reservas!$G$2:$G$501,"*,"&amp;TEXT(A81,"00")&amp;",*")+COUNTIF(Reservas!$G$2:$G$501,"*,"&amp;TEXT(A81,"000")&amp;",*")&gt;0,"reservado","disponible"))</f>
        <v>vendido</v>
      </c>
    </row>
    <row r="82" customFormat="false" ht="15" hidden="false" customHeight="false" outlineLevel="0" collapsed="false">
      <c r="A82" s="13" t="n">
        <v>81</v>
      </c>
      <c r="B82" s="13" t="str">
        <f aca="false">IF(COUNTIFS(Reservas!$G$2:$G$501,"*,"&amp;A82&amp;",*",Reservas!$E$2:$E$501,"&lt;&gt;No")+COUNTIFS(Reservas!$G$2:$G$501,"*,"&amp;TEXT(A82,"00")&amp;",*",Reservas!$E$2:$E$501,"&lt;&gt;No")+COUNTIFS(Reservas!$G$2:$G$501,"*,"&amp;TEXT(A82,"000")&amp;",*",Reservas!$E$2:$E$501,"&lt;&gt;No")&gt;0,"vendido",IF(COUNTIF(Reservas!$G$2:$G$501,"*,"&amp;A82&amp;",*")+COUNTIF(Reservas!$G$2:$G$501,"*,"&amp;TEXT(A82,"00")&amp;",*")+COUNTIF(Reservas!$G$2:$G$501,"*,"&amp;TEXT(A82,"000")&amp;",*")&gt;0,"reservado","disponible"))</f>
        <v>disponible</v>
      </c>
    </row>
    <row r="83" customFormat="false" ht="15" hidden="false" customHeight="false" outlineLevel="0" collapsed="false">
      <c r="A83" s="13" t="n">
        <v>82</v>
      </c>
      <c r="B83" s="13" t="str">
        <f aca="false">IF(COUNTIFS(Reservas!$G$2:$G$501,"*,"&amp;A83&amp;",*",Reservas!$E$2:$E$501,"&lt;&gt;No")+COUNTIFS(Reservas!$G$2:$G$501,"*,"&amp;TEXT(A83,"00")&amp;",*",Reservas!$E$2:$E$501,"&lt;&gt;No")+COUNTIFS(Reservas!$G$2:$G$501,"*,"&amp;TEXT(A83,"000")&amp;",*",Reservas!$E$2:$E$501,"&lt;&gt;No")&gt;0,"vendido",IF(COUNTIF(Reservas!$G$2:$G$501,"*,"&amp;A83&amp;",*")+COUNTIF(Reservas!$G$2:$G$501,"*,"&amp;TEXT(A83,"00")&amp;",*")+COUNTIF(Reservas!$G$2:$G$501,"*,"&amp;TEXT(A83,"000")&amp;",*")&gt;0,"reservado","disponible"))</f>
        <v>disponible</v>
      </c>
    </row>
    <row r="84" customFormat="false" ht="15" hidden="false" customHeight="false" outlineLevel="0" collapsed="false">
      <c r="A84" s="13" t="n">
        <v>83</v>
      </c>
      <c r="B84" s="13" t="str">
        <f aca="false">IF(COUNTIFS(Reservas!$G$2:$G$501,"*,"&amp;A84&amp;",*",Reservas!$E$2:$E$501,"&lt;&gt;No")+COUNTIFS(Reservas!$G$2:$G$501,"*,"&amp;TEXT(A84,"00")&amp;",*",Reservas!$E$2:$E$501,"&lt;&gt;No")+COUNTIFS(Reservas!$G$2:$G$501,"*,"&amp;TEXT(A84,"000")&amp;",*",Reservas!$E$2:$E$501,"&lt;&gt;No")&gt;0,"vendido",IF(COUNTIF(Reservas!$G$2:$G$501,"*,"&amp;A84&amp;",*")+COUNTIF(Reservas!$G$2:$G$501,"*,"&amp;TEXT(A84,"00")&amp;",*")+COUNTIF(Reservas!$G$2:$G$501,"*,"&amp;TEXT(A84,"000")&amp;",*")&gt;0,"reservado","disponible"))</f>
        <v>vendido</v>
      </c>
    </row>
    <row r="85" customFormat="false" ht="15" hidden="false" customHeight="false" outlineLevel="0" collapsed="false">
      <c r="A85" s="13" t="n">
        <v>84</v>
      </c>
      <c r="B85" s="13" t="str">
        <f aca="false">IF(COUNTIFS(Reservas!$G$2:$G$501,"*,"&amp;A85&amp;",*",Reservas!$E$2:$E$501,"&lt;&gt;No")+COUNTIFS(Reservas!$G$2:$G$501,"*,"&amp;TEXT(A85,"00")&amp;",*",Reservas!$E$2:$E$501,"&lt;&gt;No")+COUNTIFS(Reservas!$G$2:$G$501,"*,"&amp;TEXT(A85,"000")&amp;",*",Reservas!$E$2:$E$501,"&lt;&gt;No")&gt;0,"vendido",IF(COUNTIF(Reservas!$G$2:$G$501,"*,"&amp;A85&amp;",*")+COUNTIF(Reservas!$G$2:$G$501,"*,"&amp;TEXT(A85,"00")&amp;",*")+COUNTIF(Reservas!$G$2:$G$501,"*,"&amp;TEXT(A85,"000")&amp;",*")&gt;0,"reservado","disponible"))</f>
        <v>disponible</v>
      </c>
    </row>
    <row r="86" customFormat="false" ht="15" hidden="false" customHeight="false" outlineLevel="0" collapsed="false">
      <c r="A86" s="13" t="n">
        <v>85</v>
      </c>
      <c r="B86" s="13" t="str">
        <f aca="false">IF(COUNTIFS(Reservas!$G$2:$G$501,"*,"&amp;A86&amp;",*",Reservas!$E$2:$E$501,"&lt;&gt;No")+COUNTIFS(Reservas!$G$2:$G$501,"*,"&amp;TEXT(A86,"00")&amp;",*",Reservas!$E$2:$E$501,"&lt;&gt;No")+COUNTIFS(Reservas!$G$2:$G$501,"*,"&amp;TEXT(A86,"000")&amp;",*",Reservas!$E$2:$E$501,"&lt;&gt;No")&gt;0,"vendido",IF(COUNTIF(Reservas!$G$2:$G$501,"*,"&amp;A86&amp;",*")+COUNTIF(Reservas!$G$2:$G$501,"*,"&amp;TEXT(A86,"00")&amp;",*")+COUNTIF(Reservas!$G$2:$G$501,"*,"&amp;TEXT(A86,"000")&amp;",*")&gt;0,"reservado","disponible"))</f>
        <v>disponible</v>
      </c>
    </row>
    <row r="87" customFormat="false" ht="15" hidden="false" customHeight="false" outlineLevel="0" collapsed="false">
      <c r="A87" s="13" t="n">
        <v>86</v>
      </c>
      <c r="B87" s="13" t="str">
        <f aca="false">IF(COUNTIFS(Reservas!$G$2:$G$501,"*,"&amp;A87&amp;",*",Reservas!$E$2:$E$501,"&lt;&gt;No")+COUNTIFS(Reservas!$G$2:$G$501,"*,"&amp;TEXT(A87,"00")&amp;",*",Reservas!$E$2:$E$501,"&lt;&gt;No")+COUNTIFS(Reservas!$G$2:$G$501,"*,"&amp;TEXT(A87,"000")&amp;",*",Reservas!$E$2:$E$501,"&lt;&gt;No")&gt;0,"vendido",IF(COUNTIF(Reservas!$G$2:$G$501,"*,"&amp;A87&amp;",*")+COUNTIF(Reservas!$G$2:$G$501,"*,"&amp;TEXT(A87,"00")&amp;",*")+COUNTIF(Reservas!$G$2:$G$501,"*,"&amp;TEXT(A87,"000")&amp;",*")&gt;0,"reservado","disponible"))</f>
        <v>disponible</v>
      </c>
    </row>
    <row r="88" customFormat="false" ht="15" hidden="false" customHeight="false" outlineLevel="0" collapsed="false">
      <c r="A88" s="13" t="n">
        <v>87</v>
      </c>
      <c r="B88" s="13" t="str">
        <f aca="false">IF(COUNTIFS(Reservas!$G$2:$G$501,"*,"&amp;A88&amp;",*",Reservas!$E$2:$E$501,"&lt;&gt;No")+COUNTIFS(Reservas!$G$2:$G$501,"*,"&amp;TEXT(A88,"00")&amp;",*",Reservas!$E$2:$E$501,"&lt;&gt;No")+COUNTIFS(Reservas!$G$2:$G$501,"*,"&amp;TEXT(A88,"000")&amp;",*",Reservas!$E$2:$E$501,"&lt;&gt;No")&gt;0,"vendido",IF(COUNTIF(Reservas!$G$2:$G$501,"*,"&amp;A88&amp;",*")+COUNTIF(Reservas!$G$2:$G$501,"*,"&amp;TEXT(A88,"00")&amp;",*")+COUNTIF(Reservas!$G$2:$G$501,"*,"&amp;TEXT(A88,"000")&amp;",*")&gt;0,"reservado","disponible"))</f>
        <v>disponible</v>
      </c>
    </row>
    <row r="89" customFormat="false" ht="15" hidden="false" customHeight="false" outlineLevel="0" collapsed="false">
      <c r="A89" s="13" t="n">
        <v>88</v>
      </c>
      <c r="B89" s="13" t="str">
        <f aca="false">IF(COUNTIFS(Reservas!$G$2:$G$501,"*,"&amp;A89&amp;",*",Reservas!$E$2:$E$501,"&lt;&gt;No")+COUNTIFS(Reservas!$G$2:$G$501,"*,"&amp;TEXT(A89,"00")&amp;",*",Reservas!$E$2:$E$501,"&lt;&gt;No")+COUNTIFS(Reservas!$G$2:$G$501,"*,"&amp;TEXT(A89,"000")&amp;",*",Reservas!$E$2:$E$501,"&lt;&gt;No")&gt;0,"vendido",IF(COUNTIF(Reservas!$G$2:$G$501,"*,"&amp;A89&amp;",*")+COUNTIF(Reservas!$G$2:$G$501,"*,"&amp;TEXT(A89,"00")&amp;",*")+COUNTIF(Reservas!$G$2:$G$501,"*,"&amp;TEXT(A89,"000")&amp;",*")&gt;0,"reservado","disponible"))</f>
        <v>vendido</v>
      </c>
    </row>
    <row r="90" customFormat="false" ht="15" hidden="false" customHeight="false" outlineLevel="0" collapsed="false">
      <c r="A90" s="13" t="n">
        <v>89</v>
      </c>
      <c r="B90" s="13" t="str">
        <f aca="false">IF(COUNTIFS(Reservas!$G$2:$G$501,"*,"&amp;A90&amp;",*",Reservas!$E$2:$E$501,"&lt;&gt;No")+COUNTIFS(Reservas!$G$2:$G$501,"*,"&amp;TEXT(A90,"00")&amp;",*",Reservas!$E$2:$E$501,"&lt;&gt;No")+COUNTIFS(Reservas!$G$2:$G$501,"*,"&amp;TEXT(A90,"000")&amp;",*",Reservas!$E$2:$E$501,"&lt;&gt;No")&gt;0,"vendido",IF(COUNTIF(Reservas!$G$2:$G$501,"*,"&amp;A90&amp;",*")+COUNTIF(Reservas!$G$2:$G$501,"*,"&amp;TEXT(A90,"00")&amp;",*")+COUNTIF(Reservas!$G$2:$G$501,"*,"&amp;TEXT(A90,"000")&amp;",*")&gt;0,"reservado","disponible"))</f>
        <v>disponible</v>
      </c>
    </row>
    <row r="91" customFormat="false" ht="15" hidden="false" customHeight="false" outlineLevel="0" collapsed="false">
      <c r="A91" s="13" t="n">
        <v>90</v>
      </c>
      <c r="B91" s="13" t="str">
        <f aca="false">IF(COUNTIFS(Reservas!$G$2:$G$501,"*,"&amp;A91&amp;",*",Reservas!$E$2:$E$501,"&lt;&gt;No")+COUNTIFS(Reservas!$G$2:$G$501,"*,"&amp;TEXT(A91,"00")&amp;",*",Reservas!$E$2:$E$501,"&lt;&gt;No")+COUNTIFS(Reservas!$G$2:$G$501,"*,"&amp;TEXT(A91,"000")&amp;",*",Reservas!$E$2:$E$501,"&lt;&gt;No")&gt;0,"vendido",IF(COUNTIF(Reservas!$G$2:$G$501,"*,"&amp;A91&amp;",*")+COUNTIF(Reservas!$G$2:$G$501,"*,"&amp;TEXT(A91,"00")&amp;",*")+COUNTIF(Reservas!$G$2:$G$501,"*,"&amp;TEXT(A91,"000")&amp;",*")&gt;0,"reservado","disponible"))</f>
        <v>disponible</v>
      </c>
    </row>
    <row r="92" customFormat="false" ht="15" hidden="false" customHeight="false" outlineLevel="0" collapsed="false">
      <c r="A92" s="13" t="n">
        <v>91</v>
      </c>
      <c r="B92" s="13" t="str">
        <f aca="false">IF(COUNTIFS(Reservas!$G$2:$G$501,"*,"&amp;A92&amp;",*",Reservas!$E$2:$E$501,"&lt;&gt;No")+COUNTIFS(Reservas!$G$2:$G$501,"*,"&amp;TEXT(A92,"00")&amp;",*",Reservas!$E$2:$E$501,"&lt;&gt;No")+COUNTIFS(Reservas!$G$2:$G$501,"*,"&amp;TEXT(A92,"000")&amp;",*",Reservas!$E$2:$E$501,"&lt;&gt;No")&gt;0,"vendido",IF(COUNTIF(Reservas!$G$2:$G$501,"*,"&amp;A92&amp;",*")+COUNTIF(Reservas!$G$2:$G$501,"*,"&amp;TEXT(A92,"00")&amp;",*")+COUNTIF(Reservas!$G$2:$G$501,"*,"&amp;TEXT(A92,"000")&amp;",*")&gt;0,"reservado","disponible"))</f>
        <v>disponible</v>
      </c>
    </row>
    <row r="93" customFormat="false" ht="15" hidden="false" customHeight="false" outlineLevel="0" collapsed="false">
      <c r="A93" s="13" t="n">
        <v>92</v>
      </c>
      <c r="B93" s="13" t="str">
        <f aca="false">IF(COUNTIFS(Reservas!$G$2:$G$501,"*,"&amp;A93&amp;",*",Reservas!$E$2:$E$501,"&lt;&gt;No")+COUNTIFS(Reservas!$G$2:$G$501,"*,"&amp;TEXT(A93,"00")&amp;",*",Reservas!$E$2:$E$501,"&lt;&gt;No")+COUNTIFS(Reservas!$G$2:$G$501,"*,"&amp;TEXT(A93,"000")&amp;",*",Reservas!$E$2:$E$501,"&lt;&gt;No")&gt;0,"vendido",IF(COUNTIF(Reservas!$G$2:$G$501,"*,"&amp;A93&amp;",*")+COUNTIF(Reservas!$G$2:$G$501,"*,"&amp;TEXT(A93,"00")&amp;",*")+COUNTIF(Reservas!$G$2:$G$501,"*,"&amp;TEXT(A93,"000")&amp;",*")&gt;0,"reservado","disponible"))</f>
        <v>disponible</v>
      </c>
    </row>
    <row r="94" customFormat="false" ht="15" hidden="false" customHeight="false" outlineLevel="0" collapsed="false">
      <c r="A94" s="13" t="n">
        <v>93</v>
      </c>
      <c r="B94" s="13" t="str">
        <f aca="false">IF(COUNTIFS(Reservas!$G$2:$G$501,"*,"&amp;A94&amp;",*",Reservas!$E$2:$E$501,"&lt;&gt;No")+COUNTIFS(Reservas!$G$2:$G$501,"*,"&amp;TEXT(A94,"00")&amp;",*",Reservas!$E$2:$E$501,"&lt;&gt;No")+COUNTIFS(Reservas!$G$2:$G$501,"*,"&amp;TEXT(A94,"000")&amp;",*",Reservas!$E$2:$E$501,"&lt;&gt;No")&gt;0,"vendido",IF(COUNTIF(Reservas!$G$2:$G$501,"*,"&amp;A94&amp;",*")+COUNTIF(Reservas!$G$2:$G$501,"*,"&amp;TEXT(A94,"00")&amp;",*")+COUNTIF(Reservas!$G$2:$G$501,"*,"&amp;TEXT(A94,"000")&amp;",*")&gt;0,"reservado","disponible"))</f>
        <v>vendido</v>
      </c>
    </row>
    <row r="95" customFormat="false" ht="15" hidden="false" customHeight="false" outlineLevel="0" collapsed="false">
      <c r="A95" s="13" t="n">
        <v>94</v>
      </c>
      <c r="B95" s="13" t="str">
        <f aca="false">IF(COUNTIFS(Reservas!$G$2:$G$501,"*,"&amp;A95&amp;",*",Reservas!$E$2:$E$501,"&lt;&gt;No")+COUNTIFS(Reservas!$G$2:$G$501,"*,"&amp;TEXT(A95,"00")&amp;",*",Reservas!$E$2:$E$501,"&lt;&gt;No")+COUNTIFS(Reservas!$G$2:$G$501,"*,"&amp;TEXT(A95,"000")&amp;",*",Reservas!$E$2:$E$501,"&lt;&gt;No")&gt;0,"vendido",IF(COUNTIF(Reservas!$G$2:$G$501,"*,"&amp;A95&amp;",*")+COUNTIF(Reservas!$G$2:$G$501,"*,"&amp;TEXT(A95,"00")&amp;",*")+COUNTIF(Reservas!$G$2:$G$501,"*,"&amp;TEXT(A95,"000")&amp;",*")&gt;0,"reservado","disponible"))</f>
        <v>disponible</v>
      </c>
    </row>
    <row r="96" customFormat="false" ht="15" hidden="false" customHeight="false" outlineLevel="0" collapsed="false">
      <c r="A96" s="13" t="n">
        <v>95</v>
      </c>
      <c r="B96" s="13" t="str">
        <f aca="false">IF(COUNTIFS(Reservas!$G$2:$G$501,"*,"&amp;A96&amp;",*",Reservas!$E$2:$E$501,"&lt;&gt;No")+COUNTIFS(Reservas!$G$2:$G$501,"*,"&amp;TEXT(A96,"00")&amp;",*",Reservas!$E$2:$E$501,"&lt;&gt;No")+COUNTIFS(Reservas!$G$2:$G$501,"*,"&amp;TEXT(A96,"000")&amp;",*",Reservas!$E$2:$E$501,"&lt;&gt;No")&gt;0,"vendido",IF(COUNTIF(Reservas!$G$2:$G$501,"*,"&amp;A96&amp;",*")+COUNTIF(Reservas!$G$2:$G$501,"*,"&amp;TEXT(A96,"00")&amp;",*")+COUNTIF(Reservas!$G$2:$G$501,"*,"&amp;TEXT(A96,"000")&amp;",*")&gt;0,"reservado","disponible"))</f>
        <v>disponible</v>
      </c>
    </row>
    <row r="97" customFormat="false" ht="15" hidden="false" customHeight="false" outlineLevel="0" collapsed="false">
      <c r="A97" s="13" t="n">
        <v>96</v>
      </c>
      <c r="B97" s="13" t="str">
        <f aca="false">IF(COUNTIFS(Reservas!$G$2:$G$501,"*,"&amp;A97&amp;",*",Reservas!$E$2:$E$501,"&lt;&gt;No")+COUNTIFS(Reservas!$G$2:$G$501,"*,"&amp;TEXT(A97,"00")&amp;",*",Reservas!$E$2:$E$501,"&lt;&gt;No")+COUNTIFS(Reservas!$G$2:$G$501,"*,"&amp;TEXT(A97,"000")&amp;",*",Reservas!$E$2:$E$501,"&lt;&gt;No")&gt;0,"vendido",IF(COUNTIF(Reservas!$G$2:$G$501,"*,"&amp;A97&amp;",*")+COUNTIF(Reservas!$G$2:$G$501,"*,"&amp;TEXT(A97,"00")&amp;",*")+COUNTIF(Reservas!$G$2:$G$501,"*,"&amp;TEXT(A97,"000")&amp;",*")&gt;0,"reservado","disponible"))</f>
        <v>disponible</v>
      </c>
    </row>
    <row r="98" customFormat="false" ht="15" hidden="false" customHeight="false" outlineLevel="0" collapsed="false">
      <c r="A98" s="13" t="n">
        <v>97</v>
      </c>
      <c r="B98" s="13" t="str">
        <f aca="false">IF(COUNTIFS(Reservas!$G$2:$G$501,"*,"&amp;A98&amp;",*",Reservas!$E$2:$E$501,"&lt;&gt;No")+COUNTIFS(Reservas!$G$2:$G$501,"*,"&amp;TEXT(A98,"00")&amp;",*",Reservas!$E$2:$E$501,"&lt;&gt;No")+COUNTIFS(Reservas!$G$2:$G$501,"*,"&amp;TEXT(A98,"000")&amp;",*",Reservas!$E$2:$E$501,"&lt;&gt;No")&gt;0,"vendido",IF(COUNTIF(Reservas!$G$2:$G$501,"*,"&amp;A98&amp;",*")+COUNTIF(Reservas!$G$2:$G$501,"*,"&amp;TEXT(A98,"00")&amp;",*")+COUNTIF(Reservas!$G$2:$G$501,"*,"&amp;TEXT(A98,"000")&amp;",*")&gt;0,"reservado","disponible"))</f>
        <v>disponible</v>
      </c>
    </row>
    <row r="99" customFormat="false" ht="15" hidden="false" customHeight="false" outlineLevel="0" collapsed="false">
      <c r="A99" s="13" t="n">
        <v>98</v>
      </c>
      <c r="B99" s="13" t="str">
        <f aca="false">IF(COUNTIFS(Reservas!$G$2:$G$501,"*,"&amp;A99&amp;",*",Reservas!$E$2:$E$501,"&lt;&gt;No")+COUNTIFS(Reservas!$G$2:$G$501,"*,"&amp;TEXT(A99,"00")&amp;",*",Reservas!$E$2:$E$501,"&lt;&gt;No")+COUNTIFS(Reservas!$G$2:$G$501,"*,"&amp;TEXT(A99,"000")&amp;",*",Reservas!$E$2:$E$501,"&lt;&gt;No")&gt;0,"vendido",IF(COUNTIF(Reservas!$G$2:$G$501,"*,"&amp;A99&amp;",*")+COUNTIF(Reservas!$G$2:$G$501,"*,"&amp;TEXT(A99,"00")&amp;",*")+COUNTIF(Reservas!$G$2:$G$501,"*,"&amp;TEXT(A99,"000")&amp;",*")&gt;0,"reservado","disponible"))</f>
        <v>disponible</v>
      </c>
    </row>
    <row r="100" customFormat="false" ht="15" hidden="false" customHeight="false" outlineLevel="0" collapsed="false">
      <c r="A100" s="13" t="n">
        <v>99</v>
      </c>
      <c r="B100" s="13" t="str">
        <f aca="false">IF(COUNTIFS(Reservas!$G$2:$G$501,"*,"&amp;A100&amp;",*",Reservas!$E$2:$E$501,"&lt;&gt;No")+COUNTIFS(Reservas!$G$2:$G$501,"*,"&amp;TEXT(A100,"00")&amp;",*",Reservas!$E$2:$E$501,"&lt;&gt;No")+COUNTIFS(Reservas!$G$2:$G$501,"*,"&amp;TEXT(A100,"000")&amp;",*",Reservas!$E$2:$E$501,"&lt;&gt;No")&gt;0,"vendido",IF(COUNTIF(Reservas!$G$2:$G$501,"*,"&amp;A100&amp;",*")+COUNTIF(Reservas!$G$2:$G$501,"*,"&amp;TEXT(A100,"00")&amp;",*")+COUNTIF(Reservas!$G$2:$G$501,"*,"&amp;TEXT(A100,"000")&amp;",*")&gt;0,"reservado","disponible"))</f>
        <v>disponible</v>
      </c>
    </row>
    <row r="101" customFormat="false" ht="15" hidden="false" customHeight="false" outlineLevel="0" collapsed="false">
      <c r="A101" s="13" t="n">
        <v>100</v>
      </c>
      <c r="B101" s="13" t="str">
        <f aca="false">IF(COUNTIFS(Reservas!$G$2:$G$501,"*,"&amp;A101&amp;",*",Reservas!$E$2:$E$501,"&lt;&gt;No")+COUNTIFS(Reservas!$G$2:$G$501,"*,"&amp;TEXT(A101,"00")&amp;",*",Reservas!$E$2:$E$501,"&lt;&gt;No")+COUNTIFS(Reservas!$G$2:$G$501,"*,"&amp;TEXT(A101,"000")&amp;",*",Reservas!$E$2:$E$501,"&lt;&gt;No")&gt;0,"vendido",IF(COUNTIF(Reservas!$G$2:$G$501,"*,"&amp;A101&amp;",*")+COUNTIF(Reservas!$G$2:$G$501,"*,"&amp;TEXT(A101,"00")&amp;",*")+COUNTIF(Reservas!$G$2:$G$501,"*,"&amp;TEXT(A101,"000")&amp;",*")&gt;0,"reservado","disponible"))</f>
        <v>disponible</v>
      </c>
    </row>
    <row r="102" customFormat="false" ht="15" hidden="false" customHeight="false" outlineLevel="0" collapsed="false">
      <c r="A102" s="13" t="n">
        <v>101</v>
      </c>
      <c r="B102" s="13" t="str">
        <f aca="false">IF(COUNTIFS(Reservas!$G$2:$G$501,"*,"&amp;A102&amp;",*",Reservas!$E$2:$E$501,"&lt;&gt;No")+COUNTIFS(Reservas!$G$2:$G$501,"*,"&amp;TEXT(A102,"00")&amp;",*",Reservas!$E$2:$E$501,"&lt;&gt;No")+COUNTIFS(Reservas!$G$2:$G$501,"*,"&amp;TEXT(A102,"000")&amp;",*",Reservas!$E$2:$E$501,"&lt;&gt;No")&gt;0,"vendido",IF(COUNTIF(Reservas!$G$2:$G$501,"*,"&amp;A102&amp;",*")+COUNTIF(Reservas!$G$2:$G$501,"*,"&amp;TEXT(A102,"00")&amp;",*")+COUNTIF(Reservas!$G$2:$G$501,"*,"&amp;TEXT(A102,"000")&amp;",*")&gt;0,"reservado","disponible"))</f>
        <v>disponible</v>
      </c>
    </row>
    <row r="103" customFormat="false" ht="15" hidden="false" customHeight="false" outlineLevel="0" collapsed="false">
      <c r="A103" s="13" t="n">
        <v>102</v>
      </c>
      <c r="B103" s="13" t="str">
        <f aca="false">IF(COUNTIFS(Reservas!$G$2:$G$501,"*,"&amp;A103&amp;",*",Reservas!$E$2:$E$501,"&lt;&gt;No")+COUNTIFS(Reservas!$G$2:$G$501,"*,"&amp;TEXT(A103,"00")&amp;",*",Reservas!$E$2:$E$501,"&lt;&gt;No")+COUNTIFS(Reservas!$G$2:$G$501,"*,"&amp;TEXT(A103,"000")&amp;",*",Reservas!$E$2:$E$501,"&lt;&gt;No")&gt;0,"vendido",IF(COUNTIF(Reservas!$G$2:$G$501,"*,"&amp;A103&amp;",*")+COUNTIF(Reservas!$G$2:$G$501,"*,"&amp;TEXT(A103,"00")&amp;",*")+COUNTIF(Reservas!$G$2:$G$501,"*,"&amp;TEXT(A103,"000")&amp;",*")&gt;0,"reservado","disponible"))</f>
        <v>disponible</v>
      </c>
    </row>
    <row r="104" customFormat="false" ht="15" hidden="false" customHeight="false" outlineLevel="0" collapsed="false">
      <c r="A104" s="13" t="n">
        <v>103</v>
      </c>
      <c r="B104" s="13" t="str">
        <f aca="false">IF(COUNTIFS(Reservas!$G$2:$G$501,"*,"&amp;A104&amp;",*",Reservas!$E$2:$E$501,"&lt;&gt;No")+COUNTIFS(Reservas!$G$2:$G$501,"*,"&amp;TEXT(A104,"00")&amp;",*",Reservas!$E$2:$E$501,"&lt;&gt;No")+COUNTIFS(Reservas!$G$2:$G$501,"*,"&amp;TEXT(A104,"000")&amp;",*",Reservas!$E$2:$E$501,"&lt;&gt;No")&gt;0,"vendido",IF(COUNTIF(Reservas!$G$2:$G$501,"*,"&amp;A104&amp;",*")+COUNTIF(Reservas!$G$2:$G$501,"*,"&amp;TEXT(A104,"00")&amp;",*")+COUNTIF(Reservas!$G$2:$G$501,"*,"&amp;TEXT(A104,"000")&amp;",*")&gt;0,"reservado","disponible"))</f>
        <v>disponible</v>
      </c>
    </row>
    <row r="105" customFormat="false" ht="15" hidden="false" customHeight="false" outlineLevel="0" collapsed="false">
      <c r="A105" s="13" t="n">
        <v>104</v>
      </c>
      <c r="B105" s="13" t="str">
        <f aca="false">IF(COUNTIFS(Reservas!$G$2:$G$501,"*,"&amp;A105&amp;",*",Reservas!$E$2:$E$501,"&lt;&gt;No")+COUNTIFS(Reservas!$G$2:$G$501,"*,"&amp;TEXT(A105,"00")&amp;",*",Reservas!$E$2:$E$501,"&lt;&gt;No")+COUNTIFS(Reservas!$G$2:$G$501,"*,"&amp;TEXT(A105,"000")&amp;",*",Reservas!$E$2:$E$501,"&lt;&gt;No")&gt;0,"vendido",IF(COUNTIF(Reservas!$G$2:$G$501,"*,"&amp;A105&amp;",*")+COUNTIF(Reservas!$G$2:$G$501,"*,"&amp;TEXT(A105,"00")&amp;",*")+COUNTIF(Reservas!$G$2:$G$501,"*,"&amp;TEXT(A105,"000")&amp;",*")&gt;0,"reservado","disponible"))</f>
        <v>disponible</v>
      </c>
    </row>
    <row r="106" customFormat="false" ht="15" hidden="false" customHeight="false" outlineLevel="0" collapsed="false">
      <c r="A106" s="13" t="n">
        <v>105</v>
      </c>
      <c r="B106" s="13" t="str">
        <f aca="false">IF(COUNTIFS(Reservas!$G$2:$G$501,"*,"&amp;A106&amp;",*",Reservas!$E$2:$E$501,"&lt;&gt;No")+COUNTIFS(Reservas!$G$2:$G$501,"*,"&amp;TEXT(A106,"00")&amp;",*",Reservas!$E$2:$E$501,"&lt;&gt;No")+COUNTIFS(Reservas!$G$2:$G$501,"*,"&amp;TEXT(A106,"000")&amp;",*",Reservas!$E$2:$E$501,"&lt;&gt;No")&gt;0,"vendido",IF(COUNTIF(Reservas!$G$2:$G$501,"*,"&amp;A106&amp;",*")+COUNTIF(Reservas!$G$2:$G$501,"*,"&amp;TEXT(A106,"00")&amp;",*")+COUNTIF(Reservas!$G$2:$G$501,"*,"&amp;TEXT(A106,"000")&amp;",*")&gt;0,"reservado","disponible"))</f>
        <v>disponible</v>
      </c>
    </row>
    <row r="107" customFormat="false" ht="15" hidden="false" customHeight="false" outlineLevel="0" collapsed="false">
      <c r="A107" s="13" t="n">
        <v>106</v>
      </c>
      <c r="B107" s="13" t="str">
        <f aca="false">IF(COUNTIFS(Reservas!$G$2:$G$501,"*,"&amp;A107&amp;",*",Reservas!$E$2:$E$501,"&lt;&gt;No")+COUNTIFS(Reservas!$G$2:$G$501,"*,"&amp;TEXT(A107,"00")&amp;",*",Reservas!$E$2:$E$501,"&lt;&gt;No")+COUNTIFS(Reservas!$G$2:$G$501,"*,"&amp;TEXT(A107,"000")&amp;",*",Reservas!$E$2:$E$501,"&lt;&gt;No")&gt;0,"vendido",IF(COUNTIF(Reservas!$G$2:$G$501,"*,"&amp;A107&amp;",*")+COUNTIF(Reservas!$G$2:$G$501,"*,"&amp;TEXT(A107,"00")&amp;",*")+COUNTIF(Reservas!$G$2:$G$501,"*,"&amp;TEXT(A107,"000")&amp;",*")&gt;0,"reservado","disponible"))</f>
        <v>disponible</v>
      </c>
    </row>
    <row r="108" customFormat="false" ht="15" hidden="false" customHeight="false" outlineLevel="0" collapsed="false">
      <c r="A108" s="13" t="n">
        <v>107</v>
      </c>
      <c r="B108" s="13" t="str">
        <f aca="false">IF(COUNTIFS(Reservas!$G$2:$G$501,"*,"&amp;A108&amp;",*",Reservas!$E$2:$E$501,"&lt;&gt;No")+COUNTIFS(Reservas!$G$2:$G$501,"*,"&amp;TEXT(A108,"00")&amp;",*",Reservas!$E$2:$E$501,"&lt;&gt;No")+COUNTIFS(Reservas!$G$2:$G$501,"*,"&amp;TEXT(A108,"000")&amp;",*",Reservas!$E$2:$E$501,"&lt;&gt;No")&gt;0,"vendido",IF(COUNTIF(Reservas!$G$2:$G$501,"*,"&amp;A108&amp;",*")+COUNTIF(Reservas!$G$2:$G$501,"*,"&amp;TEXT(A108,"00")&amp;",*")+COUNTIF(Reservas!$G$2:$G$501,"*,"&amp;TEXT(A108,"000")&amp;",*")&gt;0,"reservado","disponible"))</f>
        <v>vendido</v>
      </c>
    </row>
    <row r="109" customFormat="false" ht="15" hidden="false" customHeight="false" outlineLevel="0" collapsed="false">
      <c r="A109" s="13" t="n">
        <v>108</v>
      </c>
      <c r="B109" s="13" t="str">
        <f aca="false">IF(COUNTIFS(Reservas!$G$2:$G$501,"*,"&amp;A109&amp;",*",Reservas!$E$2:$E$501,"&lt;&gt;No")+COUNTIFS(Reservas!$G$2:$G$501,"*,"&amp;TEXT(A109,"00")&amp;",*",Reservas!$E$2:$E$501,"&lt;&gt;No")+COUNTIFS(Reservas!$G$2:$G$501,"*,"&amp;TEXT(A109,"000")&amp;",*",Reservas!$E$2:$E$501,"&lt;&gt;No")&gt;0,"vendido",IF(COUNTIF(Reservas!$G$2:$G$501,"*,"&amp;A109&amp;",*")+COUNTIF(Reservas!$G$2:$G$501,"*,"&amp;TEXT(A109,"00")&amp;",*")+COUNTIF(Reservas!$G$2:$G$501,"*,"&amp;TEXT(A109,"000")&amp;",*")&gt;0,"reservado","disponible"))</f>
        <v>disponible</v>
      </c>
    </row>
    <row r="110" customFormat="false" ht="15" hidden="false" customHeight="false" outlineLevel="0" collapsed="false">
      <c r="A110" s="13" t="n">
        <v>109</v>
      </c>
      <c r="B110" s="13" t="str">
        <f aca="false">IF(COUNTIFS(Reservas!$G$2:$G$501,"*,"&amp;A110&amp;",*",Reservas!$E$2:$E$501,"&lt;&gt;No")+COUNTIFS(Reservas!$G$2:$G$501,"*,"&amp;TEXT(A110,"00")&amp;",*",Reservas!$E$2:$E$501,"&lt;&gt;No")+COUNTIFS(Reservas!$G$2:$G$501,"*,"&amp;TEXT(A110,"000")&amp;",*",Reservas!$E$2:$E$501,"&lt;&gt;No")&gt;0,"vendido",IF(COUNTIF(Reservas!$G$2:$G$501,"*,"&amp;A110&amp;",*")+COUNTIF(Reservas!$G$2:$G$501,"*,"&amp;TEXT(A110,"00")&amp;",*")+COUNTIF(Reservas!$G$2:$G$501,"*,"&amp;TEXT(A110,"000")&amp;",*")&gt;0,"reservado","disponible"))</f>
        <v>disponible</v>
      </c>
    </row>
    <row r="111" customFormat="false" ht="15" hidden="false" customHeight="false" outlineLevel="0" collapsed="false">
      <c r="A111" s="13" t="n">
        <v>110</v>
      </c>
      <c r="B111" s="13" t="str">
        <f aca="false">IF(COUNTIFS(Reservas!$G$2:$G$501,"*,"&amp;A111&amp;",*",Reservas!$E$2:$E$501,"&lt;&gt;No")+COUNTIFS(Reservas!$G$2:$G$501,"*,"&amp;TEXT(A111,"00")&amp;",*",Reservas!$E$2:$E$501,"&lt;&gt;No")+COUNTIFS(Reservas!$G$2:$G$501,"*,"&amp;TEXT(A111,"000")&amp;",*",Reservas!$E$2:$E$501,"&lt;&gt;No")&gt;0,"vendido",IF(COUNTIF(Reservas!$G$2:$G$501,"*,"&amp;A111&amp;",*")+COUNTIF(Reservas!$G$2:$G$501,"*,"&amp;TEXT(A111,"00")&amp;",*")+COUNTIF(Reservas!$G$2:$G$501,"*,"&amp;TEXT(A111,"000")&amp;",*")&gt;0,"reservado","disponible"))</f>
        <v>disponible</v>
      </c>
    </row>
    <row r="112" customFormat="false" ht="15" hidden="false" customHeight="false" outlineLevel="0" collapsed="false">
      <c r="A112" s="13" t="n">
        <v>111</v>
      </c>
      <c r="B112" s="13" t="str">
        <f aca="false">IF(COUNTIFS(Reservas!$G$2:$G$501,"*,"&amp;A112&amp;",*",Reservas!$E$2:$E$501,"&lt;&gt;No")+COUNTIFS(Reservas!$G$2:$G$501,"*,"&amp;TEXT(A112,"00")&amp;",*",Reservas!$E$2:$E$501,"&lt;&gt;No")+COUNTIFS(Reservas!$G$2:$G$501,"*,"&amp;TEXT(A112,"000")&amp;",*",Reservas!$E$2:$E$501,"&lt;&gt;No")&gt;0,"vendido",IF(COUNTIF(Reservas!$G$2:$G$501,"*,"&amp;A112&amp;",*")+COUNTIF(Reservas!$G$2:$G$501,"*,"&amp;TEXT(A112,"00")&amp;",*")+COUNTIF(Reservas!$G$2:$G$501,"*,"&amp;TEXT(A112,"000")&amp;",*")&gt;0,"reservado","disponible"))</f>
        <v>vendido</v>
      </c>
    </row>
    <row r="113" customFormat="false" ht="15" hidden="false" customHeight="false" outlineLevel="0" collapsed="false">
      <c r="A113" s="13" t="n">
        <v>112</v>
      </c>
      <c r="B113" s="13" t="str">
        <f aca="false">IF(COUNTIFS(Reservas!$G$2:$G$501,"*,"&amp;A113&amp;",*",Reservas!$E$2:$E$501,"&lt;&gt;No")+COUNTIFS(Reservas!$G$2:$G$501,"*,"&amp;TEXT(A113,"00")&amp;",*",Reservas!$E$2:$E$501,"&lt;&gt;No")+COUNTIFS(Reservas!$G$2:$G$501,"*,"&amp;TEXT(A113,"000")&amp;",*",Reservas!$E$2:$E$501,"&lt;&gt;No")&gt;0,"vendido",IF(COUNTIF(Reservas!$G$2:$G$501,"*,"&amp;A113&amp;",*")+COUNTIF(Reservas!$G$2:$G$501,"*,"&amp;TEXT(A113,"00")&amp;",*")+COUNTIF(Reservas!$G$2:$G$501,"*,"&amp;TEXT(A113,"000")&amp;",*")&gt;0,"reservado","disponible"))</f>
        <v>vendido</v>
      </c>
    </row>
    <row r="114" customFormat="false" ht="15" hidden="false" customHeight="false" outlineLevel="0" collapsed="false">
      <c r="A114" s="13" t="n">
        <v>113</v>
      </c>
      <c r="B114" s="13" t="str">
        <f aca="false">IF(COUNTIFS(Reservas!$G$2:$G$501,"*,"&amp;A114&amp;",*",Reservas!$E$2:$E$501,"&lt;&gt;No")+COUNTIFS(Reservas!$G$2:$G$501,"*,"&amp;TEXT(A114,"00")&amp;",*",Reservas!$E$2:$E$501,"&lt;&gt;No")+COUNTIFS(Reservas!$G$2:$G$501,"*,"&amp;TEXT(A114,"000")&amp;",*",Reservas!$E$2:$E$501,"&lt;&gt;No")&gt;0,"vendido",IF(COUNTIF(Reservas!$G$2:$G$501,"*,"&amp;A114&amp;",*")+COUNTIF(Reservas!$G$2:$G$501,"*,"&amp;TEXT(A114,"00")&amp;",*")+COUNTIF(Reservas!$G$2:$G$501,"*,"&amp;TEXT(A114,"000")&amp;",*")&gt;0,"reservado","disponible"))</f>
        <v>disponible</v>
      </c>
    </row>
    <row r="115" customFormat="false" ht="15" hidden="false" customHeight="false" outlineLevel="0" collapsed="false">
      <c r="A115" s="13" t="n">
        <v>114</v>
      </c>
      <c r="B115" s="13" t="str">
        <f aca="false">IF(COUNTIFS(Reservas!$G$2:$G$501,"*,"&amp;A115&amp;",*",Reservas!$E$2:$E$501,"&lt;&gt;No")+COUNTIFS(Reservas!$G$2:$G$501,"*,"&amp;TEXT(A115,"00")&amp;",*",Reservas!$E$2:$E$501,"&lt;&gt;No")+COUNTIFS(Reservas!$G$2:$G$501,"*,"&amp;TEXT(A115,"000")&amp;",*",Reservas!$E$2:$E$501,"&lt;&gt;No")&gt;0,"vendido",IF(COUNTIF(Reservas!$G$2:$G$501,"*,"&amp;A115&amp;",*")+COUNTIF(Reservas!$G$2:$G$501,"*,"&amp;TEXT(A115,"00")&amp;",*")+COUNTIF(Reservas!$G$2:$G$501,"*,"&amp;TEXT(A115,"000")&amp;",*")&gt;0,"reservado","disponible"))</f>
        <v>disponible</v>
      </c>
    </row>
    <row r="116" customFormat="false" ht="15" hidden="false" customHeight="false" outlineLevel="0" collapsed="false">
      <c r="A116" s="13" t="n">
        <v>115</v>
      </c>
      <c r="B116" s="13" t="str">
        <f aca="false">IF(COUNTIFS(Reservas!$G$2:$G$501,"*,"&amp;A116&amp;",*",Reservas!$E$2:$E$501,"&lt;&gt;No")+COUNTIFS(Reservas!$G$2:$G$501,"*,"&amp;TEXT(A116,"00")&amp;",*",Reservas!$E$2:$E$501,"&lt;&gt;No")+COUNTIFS(Reservas!$G$2:$G$501,"*,"&amp;TEXT(A116,"000")&amp;",*",Reservas!$E$2:$E$501,"&lt;&gt;No")&gt;0,"vendido",IF(COUNTIF(Reservas!$G$2:$G$501,"*,"&amp;A116&amp;",*")+COUNTIF(Reservas!$G$2:$G$501,"*,"&amp;TEXT(A116,"00")&amp;",*")+COUNTIF(Reservas!$G$2:$G$501,"*,"&amp;TEXT(A116,"000")&amp;",*")&gt;0,"reservado","disponible"))</f>
        <v>disponible</v>
      </c>
    </row>
    <row r="117" customFormat="false" ht="15" hidden="false" customHeight="false" outlineLevel="0" collapsed="false">
      <c r="A117" s="13" t="n">
        <v>116</v>
      </c>
      <c r="B117" s="13" t="str">
        <f aca="false">IF(COUNTIFS(Reservas!$G$2:$G$501,"*,"&amp;A117&amp;",*",Reservas!$E$2:$E$501,"&lt;&gt;No")+COUNTIFS(Reservas!$G$2:$G$501,"*,"&amp;TEXT(A117,"00")&amp;",*",Reservas!$E$2:$E$501,"&lt;&gt;No")+COUNTIFS(Reservas!$G$2:$G$501,"*,"&amp;TEXT(A117,"000")&amp;",*",Reservas!$E$2:$E$501,"&lt;&gt;No")&gt;0,"vendido",IF(COUNTIF(Reservas!$G$2:$G$501,"*,"&amp;A117&amp;",*")+COUNTIF(Reservas!$G$2:$G$501,"*,"&amp;TEXT(A117,"00")&amp;",*")+COUNTIF(Reservas!$G$2:$G$501,"*,"&amp;TEXT(A117,"000")&amp;",*")&gt;0,"reservado","disponible"))</f>
        <v>disponible</v>
      </c>
    </row>
    <row r="118" customFormat="false" ht="15" hidden="false" customHeight="false" outlineLevel="0" collapsed="false">
      <c r="A118" s="13" t="n">
        <v>117</v>
      </c>
      <c r="B118" s="13" t="str">
        <f aca="false">IF(COUNTIFS(Reservas!$G$2:$G$501,"*,"&amp;A118&amp;",*",Reservas!$E$2:$E$501,"&lt;&gt;No")+COUNTIFS(Reservas!$G$2:$G$501,"*,"&amp;TEXT(A118,"00")&amp;",*",Reservas!$E$2:$E$501,"&lt;&gt;No")+COUNTIFS(Reservas!$G$2:$G$501,"*,"&amp;TEXT(A118,"000")&amp;",*",Reservas!$E$2:$E$501,"&lt;&gt;No")&gt;0,"vendido",IF(COUNTIF(Reservas!$G$2:$G$501,"*,"&amp;A118&amp;",*")+COUNTIF(Reservas!$G$2:$G$501,"*,"&amp;TEXT(A118,"00")&amp;",*")+COUNTIF(Reservas!$G$2:$G$501,"*,"&amp;TEXT(A118,"000")&amp;",*")&gt;0,"reservado","disponible"))</f>
        <v>disponible</v>
      </c>
    </row>
    <row r="119" customFormat="false" ht="15" hidden="false" customHeight="false" outlineLevel="0" collapsed="false">
      <c r="A119" s="13" t="n">
        <v>118</v>
      </c>
      <c r="B119" s="13" t="str">
        <f aca="false">IF(COUNTIFS(Reservas!$G$2:$G$501,"*,"&amp;A119&amp;",*",Reservas!$E$2:$E$501,"&lt;&gt;No")+COUNTIFS(Reservas!$G$2:$G$501,"*,"&amp;TEXT(A119,"00")&amp;",*",Reservas!$E$2:$E$501,"&lt;&gt;No")+COUNTIFS(Reservas!$G$2:$G$501,"*,"&amp;TEXT(A119,"000")&amp;",*",Reservas!$E$2:$E$501,"&lt;&gt;No")&gt;0,"vendido",IF(COUNTIF(Reservas!$G$2:$G$501,"*,"&amp;A119&amp;",*")+COUNTIF(Reservas!$G$2:$G$501,"*,"&amp;TEXT(A119,"00")&amp;",*")+COUNTIF(Reservas!$G$2:$G$501,"*,"&amp;TEXT(A119,"000")&amp;",*")&gt;0,"reservado","disponible"))</f>
        <v>disponible</v>
      </c>
    </row>
    <row r="120" customFormat="false" ht="15" hidden="false" customHeight="false" outlineLevel="0" collapsed="false">
      <c r="A120" s="13" t="n">
        <v>119</v>
      </c>
      <c r="B120" s="13" t="str">
        <f aca="false">IF(COUNTIFS(Reservas!$G$2:$G$501,"*,"&amp;A120&amp;",*",Reservas!$E$2:$E$501,"&lt;&gt;No")+COUNTIFS(Reservas!$G$2:$G$501,"*,"&amp;TEXT(A120,"00")&amp;",*",Reservas!$E$2:$E$501,"&lt;&gt;No")+COUNTIFS(Reservas!$G$2:$G$501,"*,"&amp;TEXT(A120,"000")&amp;",*",Reservas!$E$2:$E$501,"&lt;&gt;No")&gt;0,"vendido",IF(COUNTIF(Reservas!$G$2:$G$501,"*,"&amp;A120&amp;",*")+COUNTIF(Reservas!$G$2:$G$501,"*,"&amp;TEXT(A120,"00")&amp;",*")+COUNTIF(Reservas!$G$2:$G$501,"*,"&amp;TEXT(A120,"000")&amp;",*")&gt;0,"reservado","disponible"))</f>
        <v>disponible</v>
      </c>
    </row>
    <row r="121" customFormat="false" ht="15" hidden="false" customHeight="false" outlineLevel="0" collapsed="false">
      <c r="A121" s="13" t="n">
        <v>120</v>
      </c>
      <c r="B121" s="13" t="str">
        <f aca="false">IF(COUNTIFS(Reservas!$G$2:$G$501,"*,"&amp;A121&amp;",*",Reservas!$E$2:$E$501,"&lt;&gt;No")+COUNTIFS(Reservas!$G$2:$G$501,"*,"&amp;TEXT(A121,"00")&amp;",*",Reservas!$E$2:$E$501,"&lt;&gt;No")+COUNTIFS(Reservas!$G$2:$G$501,"*,"&amp;TEXT(A121,"000")&amp;",*",Reservas!$E$2:$E$501,"&lt;&gt;No")&gt;0,"vendido",IF(COUNTIF(Reservas!$G$2:$G$501,"*,"&amp;A121&amp;",*")+COUNTIF(Reservas!$G$2:$G$501,"*,"&amp;TEXT(A121,"00")&amp;",*")+COUNTIF(Reservas!$G$2:$G$501,"*,"&amp;TEXT(A121,"000")&amp;",*")&gt;0,"reservado","disponible"))</f>
        <v>disponible</v>
      </c>
    </row>
    <row r="122" customFormat="false" ht="15" hidden="false" customHeight="false" outlineLevel="0" collapsed="false">
      <c r="A122" s="13" t="n">
        <v>121</v>
      </c>
      <c r="B122" s="13" t="str">
        <f aca="false">IF(COUNTIFS(Reservas!$G$2:$G$501,"*,"&amp;A122&amp;",*",Reservas!$E$2:$E$501,"&lt;&gt;No")+COUNTIFS(Reservas!$G$2:$G$501,"*,"&amp;TEXT(A122,"00")&amp;",*",Reservas!$E$2:$E$501,"&lt;&gt;No")+COUNTIFS(Reservas!$G$2:$G$501,"*,"&amp;TEXT(A122,"000")&amp;",*",Reservas!$E$2:$E$501,"&lt;&gt;No")&gt;0,"vendido",IF(COUNTIF(Reservas!$G$2:$G$501,"*,"&amp;A122&amp;",*")+COUNTIF(Reservas!$G$2:$G$501,"*,"&amp;TEXT(A122,"00")&amp;",*")+COUNTIF(Reservas!$G$2:$G$501,"*,"&amp;TEXT(A122,"000")&amp;",*")&gt;0,"reservado","disponible"))</f>
        <v>vendido</v>
      </c>
    </row>
    <row r="123" customFormat="false" ht="15" hidden="false" customHeight="false" outlineLevel="0" collapsed="false">
      <c r="A123" s="13" t="n">
        <v>122</v>
      </c>
      <c r="B123" s="13" t="str">
        <f aca="false">IF(COUNTIFS(Reservas!$G$2:$G$501,"*,"&amp;A123&amp;",*",Reservas!$E$2:$E$501,"&lt;&gt;No")+COUNTIFS(Reservas!$G$2:$G$501,"*,"&amp;TEXT(A123,"00")&amp;",*",Reservas!$E$2:$E$501,"&lt;&gt;No")+COUNTIFS(Reservas!$G$2:$G$501,"*,"&amp;TEXT(A123,"000")&amp;",*",Reservas!$E$2:$E$501,"&lt;&gt;No")&gt;0,"vendido",IF(COUNTIF(Reservas!$G$2:$G$501,"*,"&amp;A123&amp;",*")+COUNTIF(Reservas!$G$2:$G$501,"*,"&amp;TEXT(A123,"00")&amp;",*")+COUNTIF(Reservas!$G$2:$G$501,"*,"&amp;TEXT(A123,"000")&amp;",*")&gt;0,"reservado","disponible"))</f>
        <v>vendido</v>
      </c>
    </row>
    <row r="124" customFormat="false" ht="15" hidden="false" customHeight="false" outlineLevel="0" collapsed="false">
      <c r="A124" s="13" t="n">
        <v>123</v>
      </c>
      <c r="B124" s="13" t="str">
        <f aca="false">IF(COUNTIFS(Reservas!$G$2:$G$501,"*,"&amp;A124&amp;",*",Reservas!$E$2:$E$501,"&lt;&gt;No")+COUNTIFS(Reservas!$G$2:$G$501,"*,"&amp;TEXT(A124,"00")&amp;",*",Reservas!$E$2:$E$501,"&lt;&gt;No")+COUNTIFS(Reservas!$G$2:$G$501,"*,"&amp;TEXT(A124,"000")&amp;",*",Reservas!$E$2:$E$501,"&lt;&gt;No")&gt;0,"vendido",IF(COUNTIF(Reservas!$G$2:$G$501,"*,"&amp;A124&amp;",*")+COUNTIF(Reservas!$G$2:$G$501,"*,"&amp;TEXT(A124,"00")&amp;",*")+COUNTIF(Reservas!$G$2:$G$501,"*,"&amp;TEXT(A124,"000")&amp;",*")&gt;0,"reservado","disponible"))</f>
        <v>disponible</v>
      </c>
    </row>
    <row r="125" customFormat="false" ht="15" hidden="false" customHeight="false" outlineLevel="0" collapsed="false">
      <c r="A125" s="13" t="n">
        <v>124</v>
      </c>
      <c r="B125" s="13" t="str">
        <f aca="false">IF(COUNTIFS(Reservas!$G$2:$G$501,"*,"&amp;A125&amp;",*",Reservas!$E$2:$E$501,"&lt;&gt;No")+COUNTIFS(Reservas!$G$2:$G$501,"*,"&amp;TEXT(A125,"00")&amp;",*",Reservas!$E$2:$E$501,"&lt;&gt;No")+COUNTIFS(Reservas!$G$2:$G$501,"*,"&amp;TEXT(A125,"000")&amp;",*",Reservas!$E$2:$E$501,"&lt;&gt;No")&gt;0,"vendido",IF(COUNTIF(Reservas!$G$2:$G$501,"*,"&amp;A125&amp;",*")+COUNTIF(Reservas!$G$2:$G$501,"*,"&amp;TEXT(A125,"00")&amp;",*")+COUNTIF(Reservas!$G$2:$G$501,"*,"&amp;TEXT(A125,"000")&amp;",*")&gt;0,"reservado","disponible"))</f>
        <v>disponible</v>
      </c>
    </row>
    <row r="126" customFormat="false" ht="15" hidden="false" customHeight="false" outlineLevel="0" collapsed="false">
      <c r="A126" s="13" t="n">
        <v>125</v>
      </c>
      <c r="B126" s="13" t="str">
        <f aca="false">IF(COUNTIFS(Reservas!$G$2:$G$501,"*,"&amp;A126&amp;",*",Reservas!$E$2:$E$501,"&lt;&gt;No")+COUNTIFS(Reservas!$G$2:$G$501,"*,"&amp;TEXT(A126,"00")&amp;",*",Reservas!$E$2:$E$501,"&lt;&gt;No")+COUNTIFS(Reservas!$G$2:$G$501,"*,"&amp;TEXT(A126,"000")&amp;",*",Reservas!$E$2:$E$501,"&lt;&gt;No")&gt;0,"vendido",IF(COUNTIF(Reservas!$G$2:$G$501,"*,"&amp;A126&amp;",*")+COUNTIF(Reservas!$G$2:$G$501,"*,"&amp;TEXT(A126,"00")&amp;",*")+COUNTIF(Reservas!$G$2:$G$501,"*,"&amp;TEXT(A126,"000")&amp;",*")&gt;0,"reservado","disponible"))</f>
        <v>disponible</v>
      </c>
    </row>
    <row r="127" customFormat="false" ht="15" hidden="false" customHeight="false" outlineLevel="0" collapsed="false">
      <c r="A127" s="13" t="n">
        <v>126</v>
      </c>
      <c r="B127" s="13" t="str">
        <f aca="false">IF(COUNTIFS(Reservas!$G$2:$G$501,"*,"&amp;A127&amp;",*",Reservas!$E$2:$E$501,"&lt;&gt;No")+COUNTIFS(Reservas!$G$2:$G$501,"*,"&amp;TEXT(A127,"00")&amp;",*",Reservas!$E$2:$E$501,"&lt;&gt;No")+COUNTIFS(Reservas!$G$2:$G$501,"*,"&amp;TEXT(A127,"000")&amp;",*",Reservas!$E$2:$E$501,"&lt;&gt;No")&gt;0,"vendido",IF(COUNTIF(Reservas!$G$2:$G$501,"*,"&amp;A127&amp;",*")+COUNTIF(Reservas!$G$2:$G$501,"*,"&amp;TEXT(A127,"00")&amp;",*")+COUNTIF(Reservas!$G$2:$G$501,"*,"&amp;TEXT(A127,"000")&amp;",*")&gt;0,"reservado","disponible"))</f>
        <v>disponible</v>
      </c>
    </row>
    <row r="128" customFormat="false" ht="15" hidden="false" customHeight="false" outlineLevel="0" collapsed="false">
      <c r="A128" s="13" t="n">
        <v>127</v>
      </c>
      <c r="B128" s="13" t="str">
        <f aca="false">IF(COUNTIFS(Reservas!$G$2:$G$501,"*,"&amp;A128&amp;",*",Reservas!$E$2:$E$501,"&lt;&gt;No")+COUNTIFS(Reservas!$G$2:$G$501,"*,"&amp;TEXT(A128,"00")&amp;",*",Reservas!$E$2:$E$501,"&lt;&gt;No")+COUNTIFS(Reservas!$G$2:$G$501,"*,"&amp;TEXT(A128,"000")&amp;",*",Reservas!$E$2:$E$501,"&lt;&gt;No")&gt;0,"vendido",IF(COUNTIF(Reservas!$G$2:$G$501,"*,"&amp;A128&amp;",*")+COUNTIF(Reservas!$G$2:$G$501,"*,"&amp;TEXT(A128,"00")&amp;",*")+COUNTIF(Reservas!$G$2:$G$501,"*,"&amp;TEXT(A128,"000")&amp;",*")&gt;0,"reservado","disponible"))</f>
        <v>disponible</v>
      </c>
    </row>
    <row r="129" customFormat="false" ht="15" hidden="false" customHeight="false" outlineLevel="0" collapsed="false">
      <c r="A129" s="13" t="n">
        <v>128</v>
      </c>
      <c r="B129" s="13" t="str">
        <f aca="false">IF(COUNTIFS(Reservas!$G$2:$G$501,"*,"&amp;A129&amp;",*",Reservas!$E$2:$E$501,"&lt;&gt;No")+COUNTIFS(Reservas!$G$2:$G$501,"*,"&amp;TEXT(A129,"00")&amp;",*",Reservas!$E$2:$E$501,"&lt;&gt;No")+COUNTIFS(Reservas!$G$2:$G$501,"*,"&amp;TEXT(A129,"000")&amp;",*",Reservas!$E$2:$E$501,"&lt;&gt;No")&gt;0,"vendido",IF(COUNTIF(Reservas!$G$2:$G$501,"*,"&amp;A129&amp;",*")+COUNTIF(Reservas!$G$2:$G$501,"*,"&amp;TEXT(A129,"00")&amp;",*")+COUNTIF(Reservas!$G$2:$G$501,"*,"&amp;TEXT(A129,"000")&amp;",*")&gt;0,"reservado","disponible"))</f>
        <v>disponible</v>
      </c>
    </row>
    <row r="130" customFormat="false" ht="15" hidden="false" customHeight="false" outlineLevel="0" collapsed="false">
      <c r="A130" s="13" t="n">
        <v>129</v>
      </c>
      <c r="B130" s="13" t="str">
        <f aca="false">IF(COUNTIFS(Reservas!$G$2:$G$501,"*,"&amp;A130&amp;",*",Reservas!$E$2:$E$501,"&lt;&gt;No")+COUNTIFS(Reservas!$G$2:$G$501,"*,"&amp;TEXT(A130,"00")&amp;",*",Reservas!$E$2:$E$501,"&lt;&gt;No")+COUNTIFS(Reservas!$G$2:$G$501,"*,"&amp;TEXT(A130,"000")&amp;",*",Reservas!$E$2:$E$501,"&lt;&gt;No")&gt;0,"vendido",IF(COUNTIF(Reservas!$G$2:$G$501,"*,"&amp;A130&amp;",*")+COUNTIF(Reservas!$G$2:$G$501,"*,"&amp;TEXT(A130,"00")&amp;",*")+COUNTIF(Reservas!$G$2:$G$501,"*,"&amp;TEXT(A130,"000")&amp;",*")&gt;0,"reservado","disponible"))</f>
        <v>disponible</v>
      </c>
    </row>
    <row r="131" customFormat="false" ht="15" hidden="false" customHeight="false" outlineLevel="0" collapsed="false">
      <c r="A131" s="13" t="n">
        <v>130</v>
      </c>
      <c r="B131" s="13" t="str">
        <f aca="false">IF(COUNTIFS(Reservas!$G$2:$G$501,"*,"&amp;A131&amp;",*",Reservas!$E$2:$E$501,"&lt;&gt;No")+COUNTIFS(Reservas!$G$2:$G$501,"*,"&amp;TEXT(A131,"00")&amp;",*",Reservas!$E$2:$E$501,"&lt;&gt;No")+COUNTIFS(Reservas!$G$2:$G$501,"*,"&amp;TEXT(A131,"000")&amp;",*",Reservas!$E$2:$E$501,"&lt;&gt;No")&gt;0,"vendido",IF(COUNTIF(Reservas!$G$2:$G$501,"*,"&amp;A131&amp;",*")+COUNTIF(Reservas!$G$2:$G$501,"*,"&amp;TEXT(A131,"00")&amp;",*")+COUNTIF(Reservas!$G$2:$G$501,"*,"&amp;TEXT(A131,"000")&amp;",*")&gt;0,"reservado","disponible"))</f>
        <v>disponible</v>
      </c>
    </row>
    <row r="132" customFormat="false" ht="15" hidden="false" customHeight="false" outlineLevel="0" collapsed="false">
      <c r="A132" s="13" t="n">
        <v>131</v>
      </c>
      <c r="B132" s="13" t="str">
        <f aca="false">IF(COUNTIFS(Reservas!$G$2:$G$501,"*,"&amp;A132&amp;",*",Reservas!$E$2:$E$501,"&lt;&gt;No")+COUNTIFS(Reservas!$G$2:$G$501,"*,"&amp;TEXT(A132,"00")&amp;",*",Reservas!$E$2:$E$501,"&lt;&gt;No")+COUNTIFS(Reservas!$G$2:$G$501,"*,"&amp;TEXT(A132,"000")&amp;",*",Reservas!$E$2:$E$501,"&lt;&gt;No")&gt;0,"vendido",IF(COUNTIF(Reservas!$G$2:$G$501,"*,"&amp;A132&amp;",*")+COUNTIF(Reservas!$G$2:$G$501,"*,"&amp;TEXT(A132,"00")&amp;",*")+COUNTIF(Reservas!$G$2:$G$501,"*,"&amp;TEXT(A132,"000")&amp;",*")&gt;0,"reservado","disponible"))</f>
        <v>disponible</v>
      </c>
    </row>
    <row r="133" customFormat="false" ht="15" hidden="false" customHeight="false" outlineLevel="0" collapsed="false">
      <c r="A133" s="13" t="n">
        <v>132</v>
      </c>
      <c r="B133" s="13" t="str">
        <f aca="false">IF(COUNTIFS(Reservas!$G$2:$G$501,"*,"&amp;A133&amp;",*",Reservas!$E$2:$E$501,"&lt;&gt;No")+COUNTIFS(Reservas!$G$2:$G$501,"*,"&amp;TEXT(A133,"00")&amp;",*",Reservas!$E$2:$E$501,"&lt;&gt;No")+COUNTIFS(Reservas!$G$2:$G$501,"*,"&amp;TEXT(A133,"000")&amp;",*",Reservas!$E$2:$E$501,"&lt;&gt;No")&gt;0,"vendido",IF(COUNTIF(Reservas!$G$2:$G$501,"*,"&amp;A133&amp;",*")+COUNTIF(Reservas!$G$2:$G$501,"*,"&amp;TEXT(A133,"00")&amp;",*")+COUNTIF(Reservas!$G$2:$G$501,"*,"&amp;TEXT(A133,"000")&amp;",*")&gt;0,"reservado","disponible"))</f>
        <v>disponible</v>
      </c>
    </row>
    <row r="134" customFormat="false" ht="15" hidden="false" customHeight="false" outlineLevel="0" collapsed="false">
      <c r="A134" s="13" t="n">
        <v>133</v>
      </c>
      <c r="B134" s="13" t="str">
        <f aca="false">IF(COUNTIFS(Reservas!$G$2:$G$501,"*,"&amp;A134&amp;",*",Reservas!$E$2:$E$501,"&lt;&gt;No")+COUNTIFS(Reservas!$G$2:$G$501,"*,"&amp;TEXT(A134,"00")&amp;",*",Reservas!$E$2:$E$501,"&lt;&gt;No")+COUNTIFS(Reservas!$G$2:$G$501,"*,"&amp;TEXT(A134,"000")&amp;",*",Reservas!$E$2:$E$501,"&lt;&gt;No")&gt;0,"vendido",IF(COUNTIF(Reservas!$G$2:$G$501,"*,"&amp;A134&amp;",*")+COUNTIF(Reservas!$G$2:$G$501,"*,"&amp;TEXT(A134,"00")&amp;",*")+COUNTIF(Reservas!$G$2:$G$501,"*,"&amp;TEXT(A134,"000")&amp;",*")&gt;0,"reservado","disponible"))</f>
        <v>disponible</v>
      </c>
    </row>
    <row r="135" customFormat="false" ht="15" hidden="false" customHeight="false" outlineLevel="0" collapsed="false">
      <c r="A135" s="13" t="n">
        <v>134</v>
      </c>
      <c r="B135" s="13" t="str">
        <f aca="false">IF(COUNTIFS(Reservas!$G$2:$G$501,"*,"&amp;A135&amp;",*",Reservas!$E$2:$E$501,"&lt;&gt;No")+COUNTIFS(Reservas!$G$2:$G$501,"*,"&amp;TEXT(A135,"00")&amp;",*",Reservas!$E$2:$E$501,"&lt;&gt;No")+COUNTIFS(Reservas!$G$2:$G$501,"*,"&amp;TEXT(A135,"000")&amp;",*",Reservas!$E$2:$E$501,"&lt;&gt;No")&gt;0,"vendido",IF(COUNTIF(Reservas!$G$2:$G$501,"*,"&amp;A135&amp;",*")+COUNTIF(Reservas!$G$2:$G$501,"*,"&amp;TEXT(A135,"00")&amp;",*")+COUNTIF(Reservas!$G$2:$G$501,"*,"&amp;TEXT(A135,"000")&amp;",*")&gt;0,"reservado","disponible"))</f>
        <v>disponible</v>
      </c>
    </row>
    <row r="136" customFormat="false" ht="15" hidden="false" customHeight="false" outlineLevel="0" collapsed="false">
      <c r="A136" s="13" t="n">
        <v>135</v>
      </c>
      <c r="B136" s="13" t="str">
        <f aca="false">IF(COUNTIFS(Reservas!$G$2:$G$501,"*,"&amp;A136&amp;",*",Reservas!$E$2:$E$501,"&lt;&gt;No")+COUNTIFS(Reservas!$G$2:$G$501,"*,"&amp;TEXT(A136,"00")&amp;",*",Reservas!$E$2:$E$501,"&lt;&gt;No")+COUNTIFS(Reservas!$G$2:$G$501,"*,"&amp;TEXT(A136,"000")&amp;",*",Reservas!$E$2:$E$501,"&lt;&gt;No")&gt;0,"vendido",IF(COUNTIF(Reservas!$G$2:$G$501,"*,"&amp;A136&amp;",*")+COUNTIF(Reservas!$G$2:$G$501,"*,"&amp;TEXT(A136,"00")&amp;",*")+COUNTIF(Reservas!$G$2:$G$501,"*,"&amp;TEXT(A136,"000")&amp;",*")&gt;0,"reservado","disponible"))</f>
        <v>disponible</v>
      </c>
    </row>
    <row r="137" customFormat="false" ht="15" hidden="false" customHeight="false" outlineLevel="0" collapsed="false">
      <c r="A137" s="13" t="n">
        <v>136</v>
      </c>
      <c r="B137" s="13" t="str">
        <f aca="false">IF(COUNTIFS(Reservas!$G$2:$G$501,"*,"&amp;A137&amp;",*",Reservas!$E$2:$E$501,"&lt;&gt;No")+COUNTIFS(Reservas!$G$2:$G$501,"*,"&amp;TEXT(A137,"00")&amp;",*",Reservas!$E$2:$E$501,"&lt;&gt;No")+COUNTIFS(Reservas!$G$2:$G$501,"*,"&amp;TEXT(A137,"000")&amp;",*",Reservas!$E$2:$E$501,"&lt;&gt;No")&gt;0,"vendido",IF(COUNTIF(Reservas!$G$2:$G$501,"*,"&amp;A137&amp;",*")+COUNTIF(Reservas!$G$2:$G$501,"*,"&amp;TEXT(A137,"00")&amp;",*")+COUNTIF(Reservas!$G$2:$G$501,"*,"&amp;TEXT(A137,"000")&amp;",*")&gt;0,"reservado","disponible"))</f>
        <v>disponible</v>
      </c>
    </row>
    <row r="138" customFormat="false" ht="15" hidden="false" customHeight="false" outlineLevel="0" collapsed="false">
      <c r="A138" s="13" t="n">
        <v>137</v>
      </c>
      <c r="B138" s="13" t="str">
        <f aca="false">IF(COUNTIFS(Reservas!$G$2:$G$501,"*,"&amp;A138&amp;",*",Reservas!$E$2:$E$501,"&lt;&gt;No")+COUNTIFS(Reservas!$G$2:$G$501,"*,"&amp;TEXT(A138,"00")&amp;",*",Reservas!$E$2:$E$501,"&lt;&gt;No")+COUNTIFS(Reservas!$G$2:$G$501,"*,"&amp;TEXT(A138,"000")&amp;",*",Reservas!$E$2:$E$501,"&lt;&gt;No")&gt;0,"vendido",IF(COUNTIF(Reservas!$G$2:$G$501,"*,"&amp;A138&amp;",*")+COUNTIF(Reservas!$G$2:$G$501,"*,"&amp;TEXT(A138,"00")&amp;",*")+COUNTIF(Reservas!$G$2:$G$501,"*,"&amp;TEXT(A138,"000")&amp;",*")&gt;0,"reservado","disponible"))</f>
        <v>disponible</v>
      </c>
    </row>
    <row r="139" customFormat="false" ht="15" hidden="false" customHeight="false" outlineLevel="0" collapsed="false">
      <c r="A139" s="13" t="n">
        <v>138</v>
      </c>
      <c r="B139" s="13" t="str">
        <f aca="false">IF(COUNTIFS(Reservas!$G$2:$G$501,"*,"&amp;A139&amp;",*",Reservas!$E$2:$E$501,"&lt;&gt;No")+COUNTIFS(Reservas!$G$2:$G$501,"*,"&amp;TEXT(A139,"00")&amp;",*",Reservas!$E$2:$E$501,"&lt;&gt;No")+COUNTIFS(Reservas!$G$2:$G$501,"*,"&amp;TEXT(A139,"000")&amp;",*",Reservas!$E$2:$E$501,"&lt;&gt;No")&gt;0,"vendido",IF(COUNTIF(Reservas!$G$2:$G$501,"*,"&amp;A139&amp;",*")+COUNTIF(Reservas!$G$2:$G$501,"*,"&amp;TEXT(A139,"00")&amp;",*")+COUNTIF(Reservas!$G$2:$G$501,"*,"&amp;TEXT(A139,"000")&amp;",*")&gt;0,"reservado","disponible"))</f>
        <v>disponible</v>
      </c>
    </row>
    <row r="140" customFormat="false" ht="15" hidden="false" customHeight="false" outlineLevel="0" collapsed="false">
      <c r="A140" s="13" t="n">
        <v>139</v>
      </c>
      <c r="B140" s="13" t="str">
        <f aca="false">IF(COUNTIFS(Reservas!$G$2:$G$501,"*,"&amp;A140&amp;",*",Reservas!$E$2:$E$501,"&lt;&gt;No")+COUNTIFS(Reservas!$G$2:$G$501,"*,"&amp;TEXT(A140,"00")&amp;",*",Reservas!$E$2:$E$501,"&lt;&gt;No")+COUNTIFS(Reservas!$G$2:$G$501,"*,"&amp;TEXT(A140,"000")&amp;",*",Reservas!$E$2:$E$501,"&lt;&gt;No")&gt;0,"vendido",IF(COUNTIF(Reservas!$G$2:$G$501,"*,"&amp;A140&amp;",*")+COUNTIF(Reservas!$G$2:$G$501,"*,"&amp;TEXT(A140,"00")&amp;",*")+COUNTIF(Reservas!$G$2:$G$501,"*,"&amp;TEXT(A140,"000")&amp;",*")&gt;0,"reservado","disponible"))</f>
        <v>disponible</v>
      </c>
    </row>
    <row r="141" customFormat="false" ht="15" hidden="false" customHeight="false" outlineLevel="0" collapsed="false">
      <c r="A141" s="13" t="n">
        <v>140</v>
      </c>
      <c r="B141" s="13" t="str">
        <f aca="false">IF(COUNTIFS(Reservas!$G$2:$G$501,"*,"&amp;A141&amp;",*",Reservas!$E$2:$E$501,"&lt;&gt;No")+COUNTIFS(Reservas!$G$2:$G$501,"*,"&amp;TEXT(A141,"00")&amp;",*",Reservas!$E$2:$E$501,"&lt;&gt;No")+COUNTIFS(Reservas!$G$2:$G$501,"*,"&amp;TEXT(A141,"000")&amp;",*",Reservas!$E$2:$E$501,"&lt;&gt;No")&gt;0,"vendido",IF(COUNTIF(Reservas!$G$2:$G$501,"*,"&amp;A141&amp;",*")+COUNTIF(Reservas!$G$2:$G$501,"*,"&amp;TEXT(A141,"00")&amp;",*")+COUNTIF(Reservas!$G$2:$G$501,"*,"&amp;TEXT(A141,"000")&amp;",*")&gt;0,"reservado","disponible"))</f>
        <v>disponible</v>
      </c>
    </row>
    <row r="142" customFormat="false" ht="15" hidden="false" customHeight="false" outlineLevel="0" collapsed="false">
      <c r="A142" s="13" t="n">
        <v>141</v>
      </c>
      <c r="B142" s="13" t="str">
        <f aca="false">IF(COUNTIFS(Reservas!$G$2:$G$501,"*,"&amp;A142&amp;",*",Reservas!$E$2:$E$501,"&lt;&gt;No")+COUNTIFS(Reservas!$G$2:$G$501,"*,"&amp;TEXT(A142,"00")&amp;",*",Reservas!$E$2:$E$501,"&lt;&gt;No")+COUNTIFS(Reservas!$G$2:$G$501,"*,"&amp;TEXT(A142,"000")&amp;",*",Reservas!$E$2:$E$501,"&lt;&gt;No")&gt;0,"vendido",IF(COUNTIF(Reservas!$G$2:$G$501,"*,"&amp;A142&amp;",*")+COUNTIF(Reservas!$G$2:$G$501,"*,"&amp;TEXT(A142,"00")&amp;",*")+COUNTIF(Reservas!$G$2:$G$501,"*,"&amp;TEXT(A142,"000")&amp;",*")&gt;0,"reservado","disponible"))</f>
        <v>disponible</v>
      </c>
    </row>
    <row r="143" customFormat="false" ht="15" hidden="false" customHeight="false" outlineLevel="0" collapsed="false">
      <c r="A143" s="13" t="n">
        <v>142</v>
      </c>
      <c r="B143" s="13" t="str">
        <f aca="false">IF(COUNTIFS(Reservas!$G$2:$G$501,"*,"&amp;A143&amp;",*",Reservas!$E$2:$E$501,"&lt;&gt;No")+COUNTIFS(Reservas!$G$2:$G$501,"*,"&amp;TEXT(A143,"00")&amp;",*",Reservas!$E$2:$E$501,"&lt;&gt;No")+COUNTIFS(Reservas!$G$2:$G$501,"*,"&amp;TEXT(A143,"000")&amp;",*",Reservas!$E$2:$E$501,"&lt;&gt;No")&gt;0,"vendido",IF(COUNTIF(Reservas!$G$2:$G$501,"*,"&amp;A143&amp;",*")+COUNTIF(Reservas!$G$2:$G$501,"*,"&amp;TEXT(A143,"00")&amp;",*")+COUNTIF(Reservas!$G$2:$G$501,"*,"&amp;TEXT(A143,"000")&amp;",*")&gt;0,"reservado","disponible"))</f>
        <v>disponible</v>
      </c>
    </row>
    <row r="144" customFormat="false" ht="15" hidden="false" customHeight="false" outlineLevel="0" collapsed="false">
      <c r="A144" s="13" t="n">
        <v>143</v>
      </c>
      <c r="B144" s="13" t="str">
        <f aca="false">IF(COUNTIFS(Reservas!$G$2:$G$501,"*,"&amp;A144&amp;",*",Reservas!$E$2:$E$501,"&lt;&gt;No")+COUNTIFS(Reservas!$G$2:$G$501,"*,"&amp;TEXT(A144,"00")&amp;",*",Reservas!$E$2:$E$501,"&lt;&gt;No")+COUNTIFS(Reservas!$G$2:$G$501,"*,"&amp;TEXT(A144,"000")&amp;",*",Reservas!$E$2:$E$501,"&lt;&gt;No")&gt;0,"vendido",IF(COUNTIF(Reservas!$G$2:$G$501,"*,"&amp;A144&amp;",*")+COUNTIF(Reservas!$G$2:$G$501,"*,"&amp;TEXT(A144,"00")&amp;",*")+COUNTIF(Reservas!$G$2:$G$501,"*,"&amp;TEXT(A144,"000")&amp;",*")&gt;0,"reservado","disponible"))</f>
        <v>disponible</v>
      </c>
    </row>
    <row r="145" customFormat="false" ht="15" hidden="false" customHeight="false" outlineLevel="0" collapsed="false">
      <c r="A145" s="13" t="n">
        <v>144</v>
      </c>
      <c r="B145" s="13" t="str">
        <f aca="false">IF(COUNTIFS(Reservas!$G$2:$G$501,"*,"&amp;A145&amp;",*",Reservas!$E$2:$E$501,"&lt;&gt;No")+COUNTIFS(Reservas!$G$2:$G$501,"*,"&amp;TEXT(A145,"00")&amp;",*",Reservas!$E$2:$E$501,"&lt;&gt;No")+COUNTIFS(Reservas!$G$2:$G$501,"*,"&amp;TEXT(A145,"000")&amp;",*",Reservas!$E$2:$E$501,"&lt;&gt;No")&gt;0,"vendido",IF(COUNTIF(Reservas!$G$2:$G$501,"*,"&amp;A145&amp;",*")+COUNTIF(Reservas!$G$2:$G$501,"*,"&amp;TEXT(A145,"00")&amp;",*")+COUNTIF(Reservas!$G$2:$G$501,"*,"&amp;TEXT(A145,"000")&amp;",*")&gt;0,"reservado","disponible"))</f>
        <v>disponible</v>
      </c>
    </row>
    <row r="146" customFormat="false" ht="15" hidden="false" customHeight="false" outlineLevel="0" collapsed="false">
      <c r="A146" s="13" t="n">
        <v>145</v>
      </c>
      <c r="B146" s="13" t="str">
        <f aca="false">IF(COUNTIFS(Reservas!$G$2:$G$501,"*,"&amp;A146&amp;",*",Reservas!$E$2:$E$501,"&lt;&gt;No")+COUNTIFS(Reservas!$G$2:$G$501,"*,"&amp;TEXT(A146,"00")&amp;",*",Reservas!$E$2:$E$501,"&lt;&gt;No")+COUNTIFS(Reservas!$G$2:$G$501,"*,"&amp;TEXT(A146,"000")&amp;",*",Reservas!$E$2:$E$501,"&lt;&gt;No")&gt;0,"vendido",IF(COUNTIF(Reservas!$G$2:$G$501,"*,"&amp;A146&amp;",*")+COUNTIF(Reservas!$G$2:$G$501,"*,"&amp;TEXT(A146,"00")&amp;",*")+COUNTIF(Reservas!$G$2:$G$501,"*,"&amp;TEXT(A146,"000")&amp;",*")&gt;0,"reservado","disponible"))</f>
        <v>disponible</v>
      </c>
    </row>
    <row r="147" customFormat="false" ht="15" hidden="false" customHeight="false" outlineLevel="0" collapsed="false">
      <c r="A147" s="13" t="n">
        <v>146</v>
      </c>
      <c r="B147" s="13" t="str">
        <f aca="false">IF(COUNTIFS(Reservas!$G$2:$G$501,"*,"&amp;A147&amp;",*",Reservas!$E$2:$E$501,"&lt;&gt;No")+COUNTIFS(Reservas!$G$2:$G$501,"*,"&amp;TEXT(A147,"00")&amp;",*",Reservas!$E$2:$E$501,"&lt;&gt;No")+COUNTIFS(Reservas!$G$2:$G$501,"*,"&amp;TEXT(A147,"000")&amp;",*",Reservas!$E$2:$E$501,"&lt;&gt;No")&gt;0,"vendido",IF(COUNTIF(Reservas!$G$2:$G$501,"*,"&amp;A147&amp;",*")+COUNTIF(Reservas!$G$2:$G$501,"*,"&amp;TEXT(A147,"00")&amp;",*")+COUNTIF(Reservas!$G$2:$G$501,"*,"&amp;TEXT(A147,"000")&amp;",*")&gt;0,"reservado","disponible"))</f>
        <v>disponible</v>
      </c>
    </row>
    <row r="148" customFormat="false" ht="15" hidden="false" customHeight="false" outlineLevel="0" collapsed="false">
      <c r="A148" s="13" t="n">
        <v>147</v>
      </c>
      <c r="B148" s="13" t="str">
        <f aca="false">IF(COUNTIFS(Reservas!$G$2:$G$501,"*,"&amp;A148&amp;",*",Reservas!$E$2:$E$501,"&lt;&gt;No")+COUNTIFS(Reservas!$G$2:$G$501,"*,"&amp;TEXT(A148,"00")&amp;",*",Reservas!$E$2:$E$501,"&lt;&gt;No")+COUNTIFS(Reservas!$G$2:$G$501,"*,"&amp;TEXT(A148,"000")&amp;",*",Reservas!$E$2:$E$501,"&lt;&gt;No")&gt;0,"vendido",IF(COUNTIF(Reservas!$G$2:$G$501,"*,"&amp;A148&amp;",*")+COUNTIF(Reservas!$G$2:$G$501,"*,"&amp;TEXT(A148,"00")&amp;",*")+COUNTIF(Reservas!$G$2:$G$501,"*,"&amp;TEXT(A148,"000")&amp;",*")&gt;0,"reservado","disponible"))</f>
        <v>disponible</v>
      </c>
    </row>
    <row r="149" customFormat="false" ht="15" hidden="false" customHeight="false" outlineLevel="0" collapsed="false">
      <c r="A149" s="13" t="n">
        <v>148</v>
      </c>
      <c r="B149" s="13" t="str">
        <f aca="false">IF(COUNTIFS(Reservas!$G$2:$G$501,"*,"&amp;A149&amp;",*",Reservas!$E$2:$E$501,"&lt;&gt;No")+COUNTIFS(Reservas!$G$2:$G$501,"*,"&amp;TEXT(A149,"00")&amp;",*",Reservas!$E$2:$E$501,"&lt;&gt;No")+COUNTIFS(Reservas!$G$2:$G$501,"*,"&amp;TEXT(A149,"000")&amp;",*",Reservas!$E$2:$E$501,"&lt;&gt;No")&gt;0,"vendido",IF(COUNTIF(Reservas!$G$2:$G$501,"*,"&amp;A149&amp;",*")+COUNTIF(Reservas!$G$2:$G$501,"*,"&amp;TEXT(A149,"00")&amp;",*")+COUNTIF(Reservas!$G$2:$G$501,"*,"&amp;TEXT(A149,"000")&amp;",*")&gt;0,"reservado","disponible"))</f>
        <v>disponible</v>
      </c>
    </row>
    <row r="150" customFormat="false" ht="15" hidden="false" customHeight="false" outlineLevel="0" collapsed="false">
      <c r="A150" s="13" t="n">
        <v>149</v>
      </c>
      <c r="B150" s="13" t="str">
        <f aca="false">IF(COUNTIFS(Reservas!$G$2:$G$501,"*,"&amp;A150&amp;",*",Reservas!$E$2:$E$501,"&lt;&gt;No")+COUNTIFS(Reservas!$G$2:$G$501,"*,"&amp;TEXT(A150,"00")&amp;",*",Reservas!$E$2:$E$501,"&lt;&gt;No")+COUNTIFS(Reservas!$G$2:$G$501,"*,"&amp;TEXT(A150,"000")&amp;",*",Reservas!$E$2:$E$501,"&lt;&gt;No")&gt;0,"vendido",IF(COUNTIF(Reservas!$G$2:$G$501,"*,"&amp;A150&amp;",*")+COUNTIF(Reservas!$G$2:$G$501,"*,"&amp;TEXT(A150,"00")&amp;",*")+COUNTIF(Reservas!$G$2:$G$501,"*,"&amp;TEXT(A150,"000")&amp;",*")&gt;0,"reservado","disponible"))</f>
        <v>disponible</v>
      </c>
    </row>
    <row r="151" customFormat="false" ht="15" hidden="false" customHeight="false" outlineLevel="0" collapsed="false">
      <c r="A151" s="13" t="n">
        <v>150</v>
      </c>
      <c r="B151" s="13" t="str">
        <f aca="false">IF(COUNTIFS(Reservas!$G$2:$G$501,"*,"&amp;A151&amp;",*",Reservas!$E$2:$E$501,"&lt;&gt;No")+COUNTIFS(Reservas!$G$2:$G$501,"*,"&amp;TEXT(A151,"00")&amp;",*",Reservas!$E$2:$E$501,"&lt;&gt;No")+COUNTIFS(Reservas!$G$2:$G$501,"*,"&amp;TEXT(A151,"000")&amp;",*",Reservas!$E$2:$E$501,"&lt;&gt;No")&gt;0,"vendido",IF(COUNTIF(Reservas!$G$2:$G$501,"*,"&amp;A151&amp;",*")+COUNTIF(Reservas!$G$2:$G$501,"*,"&amp;TEXT(A151,"00")&amp;",*")+COUNTIF(Reservas!$G$2:$G$501,"*,"&amp;TEXT(A151,"000")&amp;",*")&gt;0,"reservado","disponible"))</f>
        <v>disponible</v>
      </c>
    </row>
    <row r="152" customFormat="false" ht="15" hidden="false" customHeight="false" outlineLevel="0" collapsed="false">
      <c r="A152" s="13" t="n">
        <v>151</v>
      </c>
      <c r="B152" s="13" t="str">
        <f aca="false">IF(COUNTIFS(Reservas!$G$2:$G$501,"*,"&amp;A152&amp;",*",Reservas!$E$2:$E$501,"&lt;&gt;No")+COUNTIFS(Reservas!$G$2:$G$501,"*,"&amp;TEXT(A152,"00")&amp;",*",Reservas!$E$2:$E$501,"&lt;&gt;No")+COUNTIFS(Reservas!$G$2:$G$501,"*,"&amp;TEXT(A152,"000")&amp;",*",Reservas!$E$2:$E$501,"&lt;&gt;No")&gt;0,"vendido",IF(COUNTIF(Reservas!$G$2:$G$501,"*,"&amp;A152&amp;",*")+COUNTIF(Reservas!$G$2:$G$501,"*,"&amp;TEXT(A152,"00")&amp;",*")+COUNTIF(Reservas!$G$2:$G$501,"*,"&amp;TEXT(A152,"000")&amp;",*")&gt;0,"reservado","disponible"))</f>
        <v>disponible</v>
      </c>
    </row>
    <row r="153" customFormat="false" ht="15" hidden="false" customHeight="false" outlineLevel="0" collapsed="false">
      <c r="A153" s="13" t="n">
        <v>152</v>
      </c>
      <c r="B153" s="13" t="str">
        <f aca="false">IF(COUNTIFS(Reservas!$G$2:$G$501,"*,"&amp;A153&amp;",*",Reservas!$E$2:$E$501,"&lt;&gt;No")+COUNTIFS(Reservas!$G$2:$G$501,"*,"&amp;TEXT(A153,"00")&amp;",*",Reservas!$E$2:$E$501,"&lt;&gt;No")+COUNTIFS(Reservas!$G$2:$G$501,"*,"&amp;TEXT(A153,"000")&amp;",*",Reservas!$E$2:$E$501,"&lt;&gt;No")&gt;0,"vendido",IF(COUNTIF(Reservas!$G$2:$G$501,"*,"&amp;A153&amp;",*")+COUNTIF(Reservas!$G$2:$G$501,"*,"&amp;TEXT(A153,"00")&amp;",*")+COUNTIF(Reservas!$G$2:$G$501,"*,"&amp;TEXT(A153,"000")&amp;",*")&gt;0,"reservado","disponible"))</f>
        <v>disponible</v>
      </c>
    </row>
    <row r="154" customFormat="false" ht="15" hidden="false" customHeight="false" outlineLevel="0" collapsed="false">
      <c r="A154" s="13" t="n">
        <v>153</v>
      </c>
      <c r="B154" s="13" t="str">
        <f aca="false">IF(COUNTIFS(Reservas!$G$2:$G$501,"*,"&amp;A154&amp;",*",Reservas!$E$2:$E$501,"&lt;&gt;No")+COUNTIFS(Reservas!$G$2:$G$501,"*,"&amp;TEXT(A154,"00")&amp;",*",Reservas!$E$2:$E$501,"&lt;&gt;No")+COUNTIFS(Reservas!$G$2:$G$501,"*,"&amp;TEXT(A154,"000")&amp;",*",Reservas!$E$2:$E$501,"&lt;&gt;No")&gt;0,"vendido",IF(COUNTIF(Reservas!$G$2:$G$501,"*,"&amp;A154&amp;",*")+COUNTIF(Reservas!$G$2:$G$501,"*,"&amp;TEXT(A154,"00")&amp;",*")+COUNTIF(Reservas!$G$2:$G$501,"*,"&amp;TEXT(A154,"000")&amp;",*")&gt;0,"reservado","disponible"))</f>
        <v>disponible</v>
      </c>
    </row>
    <row r="155" customFormat="false" ht="15" hidden="false" customHeight="false" outlineLevel="0" collapsed="false">
      <c r="A155" s="13" t="n">
        <v>154</v>
      </c>
      <c r="B155" s="13" t="str">
        <f aca="false">IF(COUNTIFS(Reservas!$G$2:$G$501,"*,"&amp;A155&amp;",*",Reservas!$E$2:$E$501,"&lt;&gt;No")+COUNTIFS(Reservas!$G$2:$G$501,"*,"&amp;TEXT(A155,"00")&amp;",*",Reservas!$E$2:$E$501,"&lt;&gt;No")+COUNTIFS(Reservas!$G$2:$G$501,"*,"&amp;TEXT(A155,"000")&amp;",*",Reservas!$E$2:$E$501,"&lt;&gt;No")&gt;0,"vendido",IF(COUNTIF(Reservas!$G$2:$G$501,"*,"&amp;A155&amp;",*")+COUNTIF(Reservas!$G$2:$G$501,"*,"&amp;TEXT(A155,"00")&amp;",*")+COUNTIF(Reservas!$G$2:$G$501,"*,"&amp;TEXT(A155,"000")&amp;",*")&gt;0,"reservado","disponible"))</f>
        <v>disponible</v>
      </c>
    </row>
    <row r="156" customFormat="false" ht="15" hidden="false" customHeight="false" outlineLevel="0" collapsed="false">
      <c r="A156" s="13" t="n">
        <v>155</v>
      </c>
      <c r="B156" s="13" t="str">
        <f aca="false">IF(COUNTIFS(Reservas!$G$2:$G$501,"*,"&amp;A156&amp;",*",Reservas!$E$2:$E$501,"&lt;&gt;No")+COUNTIFS(Reservas!$G$2:$G$501,"*,"&amp;TEXT(A156,"00")&amp;",*",Reservas!$E$2:$E$501,"&lt;&gt;No")+COUNTIFS(Reservas!$G$2:$G$501,"*,"&amp;TEXT(A156,"000")&amp;",*",Reservas!$E$2:$E$501,"&lt;&gt;No")&gt;0,"vendido",IF(COUNTIF(Reservas!$G$2:$G$501,"*,"&amp;A156&amp;",*")+COUNTIF(Reservas!$G$2:$G$501,"*,"&amp;TEXT(A156,"00")&amp;",*")+COUNTIF(Reservas!$G$2:$G$501,"*,"&amp;TEXT(A156,"000")&amp;",*")&gt;0,"reservado","disponible"))</f>
        <v>disponible</v>
      </c>
    </row>
    <row r="157" customFormat="false" ht="15" hidden="false" customHeight="false" outlineLevel="0" collapsed="false">
      <c r="A157" s="13" t="n">
        <v>156</v>
      </c>
      <c r="B157" s="13" t="str">
        <f aca="false">IF(COUNTIFS(Reservas!$G$2:$G$501,"*,"&amp;A157&amp;",*",Reservas!$E$2:$E$501,"&lt;&gt;No")+COUNTIFS(Reservas!$G$2:$G$501,"*,"&amp;TEXT(A157,"00")&amp;",*",Reservas!$E$2:$E$501,"&lt;&gt;No")+COUNTIFS(Reservas!$G$2:$G$501,"*,"&amp;TEXT(A157,"000")&amp;",*",Reservas!$E$2:$E$501,"&lt;&gt;No")&gt;0,"vendido",IF(COUNTIF(Reservas!$G$2:$G$501,"*,"&amp;A157&amp;",*")+COUNTIF(Reservas!$G$2:$G$501,"*,"&amp;TEXT(A157,"00")&amp;",*")+COUNTIF(Reservas!$G$2:$G$501,"*,"&amp;TEXT(A157,"000")&amp;",*")&gt;0,"reservado","disponible"))</f>
        <v>disponible</v>
      </c>
    </row>
    <row r="158" customFormat="false" ht="15" hidden="false" customHeight="false" outlineLevel="0" collapsed="false">
      <c r="A158" s="13" t="n">
        <v>157</v>
      </c>
      <c r="B158" s="13" t="str">
        <f aca="false">IF(COUNTIFS(Reservas!$G$2:$G$501,"*,"&amp;A158&amp;",*",Reservas!$E$2:$E$501,"&lt;&gt;No")+COUNTIFS(Reservas!$G$2:$G$501,"*,"&amp;TEXT(A158,"00")&amp;",*",Reservas!$E$2:$E$501,"&lt;&gt;No")+COUNTIFS(Reservas!$G$2:$G$501,"*,"&amp;TEXT(A158,"000")&amp;",*",Reservas!$E$2:$E$501,"&lt;&gt;No")&gt;0,"vendido",IF(COUNTIF(Reservas!$G$2:$G$501,"*,"&amp;A158&amp;",*")+COUNTIF(Reservas!$G$2:$G$501,"*,"&amp;TEXT(A158,"00")&amp;",*")+COUNTIF(Reservas!$G$2:$G$501,"*,"&amp;TEXT(A158,"000")&amp;",*")&gt;0,"reservado","disponible"))</f>
        <v>disponible</v>
      </c>
    </row>
    <row r="159" customFormat="false" ht="15" hidden="false" customHeight="false" outlineLevel="0" collapsed="false">
      <c r="A159" s="13" t="n">
        <v>158</v>
      </c>
      <c r="B159" s="13" t="str">
        <f aca="false">IF(COUNTIFS(Reservas!$G$2:$G$501,"*,"&amp;A159&amp;",*",Reservas!$E$2:$E$501,"&lt;&gt;No")+COUNTIFS(Reservas!$G$2:$G$501,"*,"&amp;TEXT(A159,"00")&amp;",*",Reservas!$E$2:$E$501,"&lt;&gt;No")+COUNTIFS(Reservas!$G$2:$G$501,"*,"&amp;TEXT(A159,"000")&amp;",*",Reservas!$E$2:$E$501,"&lt;&gt;No")&gt;0,"vendido",IF(COUNTIF(Reservas!$G$2:$G$501,"*,"&amp;A159&amp;",*")+COUNTIF(Reservas!$G$2:$G$501,"*,"&amp;TEXT(A159,"00")&amp;",*")+COUNTIF(Reservas!$G$2:$G$501,"*,"&amp;TEXT(A159,"000")&amp;",*")&gt;0,"reservado","disponible"))</f>
        <v>disponible</v>
      </c>
    </row>
    <row r="160" customFormat="false" ht="15" hidden="false" customHeight="false" outlineLevel="0" collapsed="false">
      <c r="A160" s="13" t="n">
        <v>159</v>
      </c>
      <c r="B160" s="13" t="str">
        <f aca="false">IF(COUNTIFS(Reservas!$G$2:$G$501,"*,"&amp;A160&amp;",*",Reservas!$E$2:$E$501,"&lt;&gt;No")+COUNTIFS(Reservas!$G$2:$G$501,"*,"&amp;TEXT(A160,"00")&amp;",*",Reservas!$E$2:$E$501,"&lt;&gt;No")+COUNTIFS(Reservas!$G$2:$G$501,"*,"&amp;TEXT(A160,"000")&amp;",*",Reservas!$E$2:$E$501,"&lt;&gt;No")&gt;0,"vendido",IF(COUNTIF(Reservas!$G$2:$G$501,"*,"&amp;A160&amp;",*")+COUNTIF(Reservas!$G$2:$G$501,"*,"&amp;TEXT(A160,"00")&amp;",*")+COUNTIF(Reservas!$G$2:$G$501,"*,"&amp;TEXT(A160,"000")&amp;",*")&gt;0,"reservado","disponible"))</f>
        <v>disponible</v>
      </c>
    </row>
    <row r="161" customFormat="false" ht="15" hidden="false" customHeight="false" outlineLevel="0" collapsed="false">
      <c r="A161" s="13" t="n">
        <v>160</v>
      </c>
      <c r="B161" s="13" t="str">
        <f aca="false">IF(COUNTIFS(Reservas!$G$2:$G$501,"*,"&amp;A161&amp;",*",Reservas!$E$2:$E$501,"&lt;&gt;No")+COUNTIFS(Reservas!$G$2:$G$501,"*,"&amp;TEXT(A161,"00")&amp;",*",Reservas!$E$2:$E$501,"&lt;&gt;No")+COUNTIFS(Reservas!$G$2:$G$501,"*,"&amp;TEXT(A161,"000")&amp;",*",Reservas!$E$2:$E$501,"&lt;&gt;No")&gt;0,"vendido",IF(COUNTIF(Reservas!$G$2:$G$501,"*,"&amp;A161&amp;",*")+COUNTIF(Reservas!$G$2:$G$501,"*,"&amp;TEXT(A161,"00")&amp;",*")+COUNTIF(Reservas!$G$2:$G$501,"*,"&amp;TEXT(A161,"000")&amp;",*")&gt;0,"reservado","disponible"))</f>
        <v>disponible</v>
      </c>
    </row>
    <row r="162" customFormat="false" ht="15" hidden="false" customHeight="false" outlineLevel="0" collapsed="false">
      <c r="A162" s="13" t="n">
        <v>161</v>
      </c>
      <c r="B162" s="13" t="str">
        <f aca="false">IF(COUNTIFS(Reservas!$G$2:$G$501,"*,"&amp;A162&amp;",*",Reservas!$E$2:$E$501,"&lt;&gt;No")+COUNTIFS(Reservas!$G$2:$G$501,"*,"&amp;TEXT(A162,"00")&amp;",*",Reservas!$E$2:$E$501,"&lt;&gt;No")+COUNTIFS(Reservas!$G$2:$G$501,"*,"&amp;TEXT(A162,"000")&amp;",*",Reservas!$E$2:$E$501,"&lt;&gt;No")&gt;0,"vendido",IF(COUNTIF(Reservas!$G$2:$G$501,"*,"&amp;A162&amp;",*")+COUNTIF(Reservas!$G$2:$G$501,"*,"&amp;TEXT(A162,"00")&amp;",*")+COUNTIF(Reservas!$G$2:$G$501,"*,"&amp;TEXT(A162,"000")&amp;",*")&gt;0,"reservado","disponible"))</f>
        <v>disponible</v>
      </c>
    </row>
    <row r="163" customFormat="false" ht="15" hidden="false" customHeight="false" outlineLevel="0" collapsed="false">
      <c r="A163" s="13" t="n">
        <v>162</v>
      </c>
      <c r="B163" s="13" t="str">
        <f aca="false">IF(COUNTIFS(Reservas!$G$2:$G$501,"*,"&amp;A163&amp;",*",Reservas!$E$2:$E$501,"&lt;&gt;No")+COUNTIFS(Reservas!$G$2:$G$501,"*,"&amp;TEXT(A163,"00")&amp;",*",Reservas!$E$2:$E$501,"&lt;&gt;No")+COUNTIFS(Reservas!$G$2:$G$501,"*,"&amp;TEXT(A163,"000")&amp;",*",Reservas!$E$2:$E$501,"&lt;&gt;No")&gt;0,"vendido",IF(COUNTIF(Reservas!$G$2:$G$501,"*,"&amp;A163&amp;",*")+COUNTIF(Reservas!$G$2:$G$501,"*,"&amp;TEXT(A163,"00")&amp;",*")+COUNTIF(Reservas!$G$2:$G$501,"*,"&amp;TEXT(A163,"000")&amp;",*")&gt;0,"reservado","disponible"))</f>
        <v>disponible</v>
      </c>
    </row>
    <row r="164" customFormat="false" ht="15" hidden="false" customHeight="false" outlineLevel="0" collapsed="false">
      <c r="A164" s="13" t="n">
        <v>163</v>
      </c>
      <c r="B164" s="13" t="str">
        <f aca="false">IF(COUNTIFS(Reservas!$G$2:$G$501,"*,"&amp;A164&amp;",*",Reservas!$E$2:$E$501,"&lt;&gt;No")+COUNTIFS(Reservas!$G$2:$G$501,"*,"&amp;TEXT(A164,"00")&amp;",*",Reservas!$E$2:$E$501,"&lt;&gt;No")+COUNTIFS(Reservas!$G$2:$G$501,"*,"&amp;TEXT(A164,"000")&amp;",*",Reservas!$E$2:$E$501,"&lt;&gt;No")&gt;0,"vendido",IF(COUNTIF(Reservas!$G$2:$G$501,"*,"&amp;A164&amp;",*")+COUNTIF(Reservas!$G$2:$G$501,"*,"&amp;TEXT(A164,"00")&amp;",*")+COUNTIF(Reservas!$G$2:$G$501,"*,"&amp;TEXT(A164,"000")&amp;",*")&gt;0,"reservado","disponible"))</f>
        <v>disponible</v>
      </c>
    </row>
    <row r="165" customFormat="false" ht="15" hidden="false" customHeight="false" outlineLevel="0" collapsed="false">
      <c r="A165" s="13" t="n">
        <v>164</v>
      </c>
      <c r="B165" s="13" t="str">
        <f aca="false">IF(COUNTIFS(Reservas!$G$2:$G$501,"*,"&amp;A165&amp;",*",Reservas!$E$2:$E$501,"&lt;&gt;No")+COUNTIFS(Reservas!$G$2:$G$501,"*,"&amp;TEXT(A165,"00")&amp;",*",Reservas!$E$2:$E$501,"&lt;&gt;No")+COUNTIFS(Reservas!$G$2:$G$501,"*,"&amp;TEXT(A165,"000")&amp;",*",Reservas!$E$2:$E$501,"&lt;&gt;No")&gt;0,"vendido",IF(COUNTIF(Reservas!$G$2:$G$501,"*,"&amp;A165&amp;",*")+COUNTIF(Reservas!$G$2:$G$501,"*,"&amp;TEXT(A165,"00")&amp;",*")+COUNTIF(Reservas!$G$2:$G$501,"*,"&amp;TEXT(A165,"000")&amp;",*")&gt;0,"reservado","disponible"))</f>
        <v>disponible</v>
      </c>
    </row>
    <row r="166" customFormat="false" ht="15" hidden="false" customHeight="false" outlineLevel="0" collapsed="false">
      <c r="A166" s="13" t="n">
        <v>165</v>
      </c>
      <c r="B166" s="13" t="str">
        <f aca="false">IF(COUNTIFS(Reservas!$G$2:$G$501,"*,"&amp;A166&amp;",*",Reservas!$E$2:$E$501,"&lt;&gt;No")+COUNTIFS(Reservas!$G$2:$G$501,"*,"&amp;TEXT(A166,"00")&amp;",*",Reservas!$E$2:$E$501,"&lt;&gt;No")+COUNTIFS(Reservas!$G$2:$G$501,"*,"&amp;TEXT(A166,"000")&amp;",*",Reservas!$E$2:$E$501,"&lt;&gt;No")&gt;0,"vendido",IF(COUNTIF(Reservas!$G$2:$G$501,"*,"&amp;A166&amp;",*")+COUNTIF(Reservas!$G$2:$G$501,"*,"&amp;TEXT(A166,"00")&amp;",*")+COUNTIF(Reservas!$G$2:$G$501,"*,"&amp;TEXT(A166,"000")&amp;",*")&gt;0,"reservado","disponible"))</f>
        <v>disponible</v>
      </c>
    </row>
    <row r="167" customFormat="false" ht="15" hidden="false" customHeight="false" outlineLevel="0" collapsed="false">
      <c r="A167" s="13" t="n">
        <v>166</v>
      </c>
      <c r="B167" s="13" t="str">
        <f aca="false">IF(COUNTIFS(Reservas!$G$2:$G$501,"*,"&amp;A167&amp;",*",Reservas!$E$2:$E$501,"&lt;&gt;No")+COUNTIFS(Reservas!$G$2:$G$501,"*,"&amp;TEXT(A167,"00")&amp;",*",Reservas!$E$2:$E$501,"&lt;&gt;No")+COUNTIFS(Reservas!$G$2:$G$501,"*,"&amp;TEXT(A167,"000")&amp;",*",Reservas!$E$2:$E$501,"&lt;&gt;No")&gt;0,"vendido",IF(COUNTIF(Reservas!$G$2:$G$501,"*,"&amp;A167&amp;",*")+COUNTIF(Reservas!$G$2:$G$501,"*,"&amp;TEXT(A167,"00")&amp;",*")+COUNTIF(Reservas!$G$2:$G$501,"*,"&amp;TEXT(A167,"000")&amp;",*")&gt;0,"reservado","disponible"))</f>
        <v>disponible</v>
      </c>
    </row>
    <row r="168" customFormat="false" ht="15" hidden="false" customHeight="false" outlineLevel="0" collapsed="false">
      <c r="A168" s="13" t="n">
        <v>167</v>
      </c>
      <c r="B168" s="13" t="str">
        <f aca="false">IF(COUNTIFS(Reservas!$G$2:$G$501,"*,"&amp;A168&amp;",*",Reservas!$E$2:$E$501,"&lt;&gt;No")+COUNTIFS(Reservas!$G$2:$G$501,"*,"&amp;TEXT(A168,"00")&amp;",*",Reservas!$E$2:$E$501,"&lt;&gt;No")+COUNTIFS(Reservas!$G$2:$G$501,"*,"&amp;TEXT(A168,"000")&amp;",*",Reservas!$E$2:$E$501,"&lt;&gt;No")&gt;0,"vendido",IF(COUNTIF(Reservas!$G$2:$G$501,"*,"&amp;A168&amp;",*")+COUNTIF(Reservas!$G$2:$G$501,"*,"&amp;TEXT(A168,"00")&amp;",*")+COUNTIF(Reservas!$G$2:$G$501,"*,"&amp;TEXT(A168,"000")&amp;",*")&gt;0,"reservado","disponible"))</f>
        <v>disponible</v>
      </c>
    </row>
    <row r="169" customFormat="false" ht="15" hidden="false" customHeight="false" outlineLevel="0" collapsed="false">
      <c r="A169" s="13" t="n">
        <v>168</v>
      </c>
      <c r="B169" s="13" t="str">
        <f aca="false">IF(COUNTIFS(Reservas!$G$2:$G$501,"*,"&amp;A169&amp;",*",Reservas!$E$2:$E$501,"&lt;&gt;No")+COUNTIFS(Reservas!$G$2:$G$501,"*,"&amp;TEXT(A169,"00")&amp;",*",Reservas!$E$2:$E$501,"&lt;&gt;No")+COUNTIFS(Reservas!$G$2:$G$501,"*,"&amp;TEXT(A169,"000")&amp;",*",Reservas!$E$2:$E$501,"&lt;&gt;No")&gt;0,"vendido",IF(COUNTIF(Reservas!$G$2:$G$501,"*,"&amp;A169&amp;",*")+COUNTIF(Reservas!$G$2:$G$501,"*,"&amp;TEXT(A169,"00")&amp;",*")+COUNTIF(Reservas!$G$2:$G$501,"*,"&amp;TEXT(A169,"000")&amp;",*")&gt;0,"reservado","disponible"))</f>
        <v>disponible</v>
      </c>
    </row>
    <row r="170" customFormat="false" ht="15" hidden="false" customHeight="false" outlineLevel="0" collapsed="false">
      <c r="A170" s="13" t="n">
        <v>169</v>
      </c>
      <c r="B170" s="13" t="str">
        <f aca="false">IF(COUNTIFS(Reservas!$G$2:$G$501,"*,"&amp;A170&amp;",*",Reservas!$E$2:$E$501,"&lt;&gt;No")+COUNTIFS(Reservas!$G$2:$G$501,"*,"&amp;TEXT(A170,"00")&amp;",*",Reservas!$E$2:$E$501,"&lt;&gt;No")+COUNTIFS(Reservas!$G$2:$G$501,"*,"&amp;TEXT(A170,"000")&amp;",*",Reservas!$E$2:$E$501,"&lt;&gt;No")&gt;0,"vendido",IF(COUNTIF(Reservas!$G$2:$G$501,"*,"&amp;A170&amp;",*")+COUNTIF(Reservas!$G$2:$G$501,"*,"&amp;TEXT(A170,"00")&amp;",*")+COUNTIF(Reservas!$G$2:$G$501,"*,"&amp;TEXT(A170,"000")&amp;",*")&gt;0,"reservado","disponible"))</f>
        <v>disponible</v>
      </c>
    </row>
    <row r="171" customFormat="false" ht="15" hidden="false" customHeight="false" outlineLevel="0" collapsed="false">
      <c r="A171" s="13" t="n">
        <v>170</v>
      </c>
      <c r="B171" s="13" t="str">
        <f aca="false">IF(COUNTIFS(Reservas!$G$2:$G$501,"*,"&amp;A171&amp;",*",Reservas!$E$2:$E$501,"&lt;&gt;No")+COUNTIFS(Reservas!$G$2:$G$501,"*,"&amp;TEXT(A171,"00")&amp;",*",Reservas!$E$2:$E$501,"&lt;&gt;No")+COUNTIFS(Reservas!$G$2:$G$501,"*,"&amp;TEXT(A171,"000")&amp;",*",Reservas!$E$2:$E$501,"&lt;&gt;No")&gt;0,"vendido",IF(COUNTIF(Reservas!$G$2:$G$501,"*,"&amp;A171&amp;",*")+COUNTIF(Reservas!$G$2:$G$501,"*,"&amp;TEXT(A171,"00")&amp;",*")+COUNTIF(Reservas!$G$2:$G$501,"*,"&amp;TEXT(A171,"000")&amp;",*")&gt;0,"reservado","disponible"))</f>
        <v>disponible</v>
      </c>
    </row>
    <row r="172" customFormat="false" ht="15" hidden="false" customHeight="false" outlineLevel="0" collapsed="false">
      <c r="A172" s="13" t="n">
        <v>171</v>
      </c>
      <c r="B172" s="13" t="str">
        <f aca="false">IF(COUNTIFS(Reservas!$G$2:$G$501,"*,"&amp;A172&amp;",*",Reservas!$E$2:$E$501,"&lt;&gt;No")+COUNTIFS(Reservas!$G$2:$G$501,"*,"&amp;TEXT(A172,"00")&amp;",*",Reservas!$E$2:$E$501,"&lt;&gt;No")+COUNTIFS(Reservas!$G$2:$G$501,"*,"&amp;TEXT(A172,"000")&amp;",*",Reservas!$E$2:$E$501,"&lt;&gt;No")&gt;0,"vendido",IF(COUNTIF(Reservas!$G$2:$G$501,"*,"&amp;A172&amp;",*")+COUNTIF(Reservas!$G$2:$G$501,"*,"&amp;TEXT(A172,"00")&amp;",*")+COUNTIF(Reservas!$G$2:$G$501,"*,"&amp;TEXT(A172,"000")&amp;",*")&gt;0,"reservado","disponible"))</f>
        <v>disponible</v>
      </c>
    </row>
    <row r="173" customFormat="false" ht="15" hidden="false" customHeight="false" outlineLevel="0" collapsed="false">
      <c r="A173" s="13" t="n">
        <v>172</v>
      </c>
      <c r="B173" s="13" t="str">
        <f aca="false">IF(COUNTIFS(Reservas!$G$2:$G$501,"*,"&amp;A173&amp;",*",Reservas!$E$2:$E$501,"&lt;&gt;No")+COUNTIFS(Reservas!$G$2:$G$501,"*,"&amp;TEXT(A173,"00")&amp;",*",Reservas!$E$2:$E$501,"&lt;&gt;No")+COUNTIFS(Reservas!$G$2:$G$501,"*,"&amp;TEXT(A173,"000")&amp;",*",Reservas!$E$2:$E$501,"&lt;&gt;No")&gt;0,"vendido",IF(COUNTIF(Reservas!$G$2:$G$501,"*,"&amp;A173&amp;",*")+COUNTIF(Reservas!$G$2:$G$501,"*,"&amp;TEXT(A173,"00")&amp;",*")+COUNTIF(Reservas!$G$2:$G$501,"*,"&amp;TEXT(A173,"000")&amp;",*")&gt;0,"reservado","disponible"))</f>
        <v>disponible</v>
      </c>
    </row>
    <row r="174" customFormat="false" ht="15" hidden="false" customHeight="false" outlineLevel="0" collapsed="false">
      <c r="A174" s="13" t="n">
        <v>173</v>
      </c>
      <c r="B174" s="13" t="str">
        <f aca="false">IF(COUNTIFS(Reservas!$G$2:$G$501,"*,"&amp;A174&amp;",*",Reservas!$E$2:$E$501,"&lt;&gt;No")+COUNTIFS(Reservas!$G$2:$G$501,"*,"&amp;TEXT(A174,"00")&amp;",*",Reservas!$E$2:$E$501,"&lt;&gt;No")+COUNTIFS(Reservas!$G$2:$G$501,"*,"&amp;TEXT(A174,"000")&amp;",*",Reservas!$E$2:$E$501,"&lt;&gt;No")&gt;0,"vendido",IF(COUNTIF(Reservas!$G$2:$G$501,"*,"&amp;A174&amp;",*")+COUNTIF(Reservas!$G$2:$G$501,"*,"&amp;TEXT(A174,"00")&amp;",*")+COUNTIF(Reservas!$G$2:$G$501,"*,"&amp;TEXT(A174,"000")&amp;",*")&gt;0,"reservado","disponible"))</f>
        <v>disponible</v>
      </c>
    </row>
    <row r="175" customFormat="false" ht="15" hidden="false" customHeight="false" outlineLevel="0" collapsed="false">
      <c r="A175" s="13" t="n">
        <v>174</v>
      </c>
      <c r="B175" s="13" t="str">
        <f aca="false">IF(COUNTIFS(Reservas!$G$2:$G$501,"*,"&amp;A175&amp;",*",Reservas!$E$2:$E$501,"&lt;&gt;No")+COUNTIFS(Reservas!$G$2:$G$501,"*,"&amp;TEXT(A175,"00")&amp;",*",Reservas!$E$2:$E$501,"&lt;&gt;No")+COUNTIFS(Reservas!$G$2:$G$501,"*,"&amp;TEXT(A175,"000")&amp;",*",Reservas!$E$2:$E$501,"&lt;&gt;No")&gt;0,"vendido",IF(COUNTIF(Reservas!$G$2:$G$501,"*,"&amp;A175&amp;",*")+COUNTIF(Reservas!$G$2:$G$501,"*,"&amp;TEXT(A175,"00")&amp;",*")+COUNTIF(Reservas!$G$2:$G$501,"*,"&amp;TEXT(A175,"000")&amp;",*")&gt;0,"reservado","disponible"))</f>
        <v>disponible</v>
      </c>
    </row>
    <row r="176" customFormat="false" ht="15" hidden="false" customHeight="false" outlineLevel="0" collapsed="false">
      <c r="A176" s="13" t="n">
        <v>175</v>
      </c>
      <c r="B176" s="13" t="str">
        <f aca="false">IF(COUNTIFS(Reservas!$G$2:$G$501,"*,"&amp;A176&amp;",*",Reservas!$E$2:$E$501,"&lt;&gt;No")+COUNTIFS(Reservas!$G$2:$G$501,"*,"&amp;TEXT(A176,"00")&amp;",*",Reservas!$E$2:$E$501,"&lt;&gt;No")+COUNTIFS(Reservas!$G$2:$G$501,"*,"&amp;TEXT(A176,"000")&amp;",*",Reservas!$E$2:$E$501,"&lt;&gt;No")&gt;0,"vendido",IF(COUNTIF(Reservas!$G$2:$G$501,"*,"&amp;A176&amp;",*")+COUNTIF(Reservas!$G$2:$G$501,"*,"&amp;TEXT(A176,"00")&amp;",*")+COUNTIF(Reservas!$G$2:$G$501,"*,"&amp;TEXT(A176,"000")&amp;",*")&gt;0,"reservado","disponible"))</f>
        <v>disponible</v>
      </c>
    </row>
    <row r="177" customFormat="false" ht="15" hidden="false" customHeight="false" outlineLevel="0" collapsed="false">
      <c r="A177" s="13" t="n">
        <v>176</v>
      </c>
      <c r="B177" s="13" t="str">
        <f aca="false">IF(COUNTIFS(Reservas!$G$2:$G$501,"*,"&amp;A177&amp;",*",Reservas!$E$2:$E$501,"&lt;&gt;No")+COUNTIFS(Reservas!$G$2:$G$501,"*,"&amp;TEXT(A177,"00")&amp;",*",Reservas!$E$2:$E$501,"&lt;&gt;No")+COUNTIFS(Reservas!$G$2:$G$501,"*,"&amp;TEXT(A177,"000")&amp;",*",Reservas!$E$2:$E$501,"&lt;&gt;No")&gt;0,"vendido",IF(COUNTIF(Reservas!$G$2:$G$501,"*,"&amp;A177&amp;",*")+COUNTIF(Reservas!$G$2:$G$501,"*,"&amp;TEXT(A177,"00")&amp;",*")+COUNTIF(Reservas!$G$2:$G$501,"*,"&amp;TEXT(A177,"000")&amp;",*")&gt;0,"reservado","disponible"))</f>
        <v>disponible</v>
      </c>
    </row>
    <row r="178" customFormat="false" ht="15" hidden="false" customHeight="false" outlineLevel="0" collapsed="false">
      <c r="A178" s="13" t="n">
        <v>177</v>
      </c>
      <c r="B178" s="13" t="str">
        <f aca="false">IF(COUNTIFS(Reservas!$G$2:$G$501,"*,"&amp;A178&amp;",*",Reservas!$E$2:$E$501,"&lt;&gt;No")+COUNTIFS(Reservas!$G$2:$G$501,"*,"&amp;TEXT(A178,"00")&amp;",*",Reservas!$E$2:$E$501,"&lt;&gt;No")+COUNTIFS(Reservas!$G$2:$G$501,"*,"&amp;TEXT(A178,"000")&amp;",*",Reservas!$E$2:$E$501,"&lt;&gt;No")&gt;0,"vendido",IF(COUNTIF(Reservas!$G$2:$G$501,"*,"&amp;A178&amp;",*")+COUNTIF(Reservas!$G$2:$G$501,"*,"&amp;TEXT(A178,"00")&amp;",*")+COUNTIF(Reservas!$G$2:$G$501,"*,"&amp;TEXT(A178,"000")&amp;",*")&gt;0,"reservado","disponible"))</f>
        <v>vendido</v>
      </c>
    </row>
    <row r="179" customFormat="false" ht="15" hidden="false" customHeight="false" outlineLevel="0" collapsed="false">
      <c r="A179" s="13" t="n">
        <v>178</v>
      </c>
      <c r="B179" s="13" t="str">
        <f aca="false">IF(COUNTIFS(Reservas!$G$2:$G$501,"*,"&amp;A179&amp;",*",Reservas!$E$2:$E$501,"&lt;&gt;No")+COUNTIFS(Reservas!$G$2:$G$501,"*,"&amp;TEXT(A179,"00")&amp;",*",Reservas!$E$2:$E$501,"&lt;&gt;No")+COUNTIFS(Reservas!$G$2:$G$501,"*,"&amp;TEXT(A179,"000")&amp;",*",Reservas!$E$2:$E$501,"&lt;&gt;No")&gt;0,"vendido",IF(COUNTIF(Reservas!$G$2:$G$501,"*,"&amp;A179&amp;",*")+COUNTIF(Reservas!$G$2:$G$501,"*,"&amp;TEXT(A179,"00")&amp;",*")+COUNTIF(Reservas!$G$2:$G$501,"*,"&amp;TEXT(A179,"000")&amp;",*")&gt;0,"reservado","disponible"))</f>
        <v>disponible</v>
      </c>
    </row>
    <row r="180" customFormat="false" ht="15" hidden="false" customHeight="false" outlineLevel="0" collapsed="false">
      <c r="A180" s="13" t="n">
        <v>179</v>
      </c>
      <c r="B180" s="13" t="str">
        <f aca="false">IF(COUNTIFS(Reservas!$G$2:$G$501,"*,"&amp;A180&amp;",*",Reservas!$E$2:$E$501,"&lt;&gt;No")+COUNTIFS(Reservas!$G$2:$G$501,"*,"&amp;TEXT(A180,"00")&amp;",*",Reservas!$E$2:$E$501,"&lt;&gt;No")+COUNTIFS(Reservas!$G$2:$G$501,"*,"&amp;TEXT(A180,"000")&amp;",*",Reservas!$E$2:$E$501,"&lt;&gt;No")&gt;0,"vendido",IF(COUNTIF(Reservas!$G$2:$G$501,"*,"&amp;A180&amp;",*")+COUNTIF(Reservas!$G$2:$G$501,"*,"&amp;TEXT(A180,"00")&amp;",*")+COUNTIF(Reservas!$G$2:$G$501,"*,"&amp;TEXT(A180,"000")&amp;",*")&gt;0,"reservado","disponible"))</f>
        <v>disponible</v>
      </c>
    </row>
    <row r="181" customFormat="false" ht="15" hidden="false" customHeight="false" outlineLevel="0" collapsed="false">
      <c r="A181" s="13" t="n">
        <v>180</v>
      </c>
      <c r="B181" s="13" t="str">
        <f aca="false">IF(COUNTIFS(Reservas!$G$2:$G$501,"*,"&amp;A181&amp;",*",Reservas!$E$2:$E$501,"&lt;&gt;No")+COUNTIFS(Reservas!$G$2:$G$501,"*,"&amp;TEXT(A181,"00")&amp;",*",Reservas!$E$2:$E$501,"&lt;&gt;No")+COUNTIFS(Reservas!$G$2:$G$501,"*,"&amp;TEXT(A181,"000")&amp;",*",Reservas!$E$2:$E$501,"&lt;&gt;No")&gt;0,"vendido",IF(COUNTIF(Reservas!$G$2:$G$501,"*,"&amp;A181&amp;",*")+COUNTIF(Reservas!$G$2:$G$501,"*,"&amp;TEXT(A181,"00")&amp;",*")+COUNTIF(Reservas!$G$2:$G$501,"*,"&amp;TEXT(A181,"000")&amp;",*")&gt;0,"reservado","disponible"))</f>
        <v>disponible</v>
      </c>
    </row>
    <row r="182" customFormat="false" ht="15" hidden="false" customHeight="false" outlineLevel="0" collapsed="false">
      <c r="A182" s="13" t="n">
        <v>181</v>
      </c>
      <c r="B182" s="13" t="str">
        <f aca="false">IF(COUNTIFS(Reservas!$G$2:$G$501,"*,"&amp;A182&amp;",*",Reservas!$E$2:$E$501,"&lt;&gt;No")+COUNTIFS(Reservas!$G$2:$G$501,"*,"&amp;TEXT(A182,"00")&amp;",*",Reservas!$E$2:$E$501,"&lt;&gt;No")+COUNTIFS(Reservas!$G$2:$G$501,"*,"&amp;TEXT(A182,"000")&amp;",*",Reservas!$E$2:$E$501,"&lt;&gt;No")&gt;0,"vendido",IF(COUNTIF(Reservas!$G$2:$G$501,"*,"&amp;A182&amp;",*")+COUNTIF(Reservas!$G$2:$G$501,"*,"&amp;TEXT(A182,"00")&amp;",*")+COUNTIF(Reservas!$G$2:$G$501,"*,"&amp;TEXT(A182,"000")&amp;",*")&gt;0,"reservado","disponible"))</f>
        <v>disponible</v>
      </c>
    </row>
    <row r="183" customFormat="false" ht="15" hidden="false" customHeight="false" outlineLevel="0" collapsed="false">
      <c r="A183" s="13" t="n">
        <v>182</v>
      </c>
      <c r="B183" s="13" t="str">
        <f aca="false">IF(COUNTIFS(Reservas!$G$2:$G$501,"*,"&amp;A183&amp;",*",Reservas!$E$2:$E$501,"&lt;&gt;No")+COUNTIFS(Reservas!$G$2:$G$501,"*,"&amp;TEXT(A183,"00")&amp;",*",Reservas!$E$2:$E$501,"&lt;&gt;No")+COUNTIFS(Reservas!$G$2:$G$501,"*,"&amp;TEXT(A183,"000")&amp;",*",Reservas!$E$2:$E$501,"&lt;&gt;No")&gt;0,"vendido",IF(COUNTIF(Reservas!$G$2:$G$501,"*,"&amp;A183&amp;",*")+COUNTIF(Reservas!$G$2:$G$501,"*,"&amp;TEXT(A183,"00")&amp;",*")+COUNTIF(Reservas!$G$2:$G$501,"*,"&amp;TEXT(A183,"000")&amp;",*")&gt;0,"reservado","disponible"))</f>
        <v>disponible</v>
      </c>
    </row>
    <row r="184" customFormat="false" ht="15" hidden="false" customHeight="false" outlineLevel="0" collapsed="false">
      <c r="A184" s="13" t="n">
        <v>183</v>
      </c>
      <c r="B184" s="13" t="str">
        <f aca="false">IF(COUNTIFS(Reservas!$G$2:$G$501,"*,"&amp;A184&amp;",*",Reservas!$E$2:$E$501,"&lt;&gt;No")+COUNTIFS(Reservas!$G$2:$G$501,"*,"&amp;TEXT(A184,"00")&amp;",*",Reservas!$E$2:$E$501,"&lt;&gt;No")+COUNTIFS(Reservas!$G$2:$G$501,"*,"&amp;TEXT(A184,"000")&amp;",*",Reservas!$E$2:$E$501,"&lt;&gt;No")&gt;0,"vendido",IF(COUNTIF(Reservas!$G$2:$G$501,"*,"&amp;A184&amp;",*")+COUNTIF(Reservas!$G$2:$G$501,"*,"&amp;TEXT(A184,"00")&amp;",*")+COUNTIF(Reservas!$G$2:$G$501,"*,"&amp;TEXT(A184,"000")&amp;",*")&gt;0,"reservado","disponible"))</f>
        <v>disponible</v>
      </c>
    </row>
    <row r="185" customFormat="false" ht="15" hidden="false" customHeight="false" outlineLevel="0" collapsed="false">
      <c r="A185" s="13" t="n">
        <v>184</v>
      </c>
      <c r="B185" s="13" t="str">
        <f aca="false">IF(COUNTIFS(Reservas!$G$2:$G$501,"*,"&amp;A185&amp;",*",Reservas!$E$2:$E$501,"&lt;&gt;No")+COUNTIFS(Reservas!$G$2:$G$501,"*,"&amp;TEXT(A185,"00")&amp;",*",Reservas!$E$2:$E$501,"&lt;&gt;No")+COUNTIFS(Reservas!$G$2:$G$501,"*,"&amp;TEXT(A185,"000")&amp;",*",Reservas!$E$2:$E$501,"&lt;&gt;No")&gt;0,"vendido",IF(COUNTIF(Reservas!$G$2:$G$501,"*,"&amp;A185&amp;",*")+COUNTIF(Reservas!$G$2:$G$501,"*,"&amp;TEXT(A185,"00")&amp;",*")+COUNTIF(Reservas!$G$2:$G$501,"*,"&amp;TEXT(A185,"000")&amp;",*")&gt;0,"reservado","disponible"))</f>
        <v>disponible</v>
      </c>
    </row>
    <row r="186" customFormat="false" ht="15" hidden="false" customHeight="false" outlineLevel="0" collapsed="false">
      <c r="A186" s="13" t="n">
        <v>185</v>
      </c>
      <c r="B186" s="13" t="str">
        <f aca="false">IF(COUNTIFS(Reservas!$G$2:$G$501,"*,"&amp;A186&amp;",*",Reservas!$E$2:$E$501,"&lt;&gt;No")+COUNTIFS(Reservas!$G$2:$G$501,"*,"&amp;TEXT(A186,"00")&amp;",*",Reservas!$E$2:$E$501,"&lt;&gt;No")+COUNTIFS(Reservas!$G$2:$G$501,"*,"&amp;TEXT(A186,"000")&amp;",*",Reservas!$E$2:$E$501,"&lt;&gt;No")&gt;0,"vendido",IF(COUNTIF(Reservas!$G$2:$G$501,"*,"&amp;A186&amp;",*")+COUNTIF(Reservas!$G$2:$G$501,"*,"&amp;TEXT(A186,"00")&amp;",*")+COUNTIF(Reservas!$G$2:$G$501,"*,"&amp;TEXT(A186,"000")&amp;",*")&gt;0,"reservado","disponible"))</f>
        <v>disponible</v>
      </c>
    </row>
    <row r="187" customFormat="false" ht="15" hidden="false" customHeight="false" outlineLevel="0" collapsed="false">
      <c r="A187" s="13" t="n">
        <v>186</v>
      </c>
      <c r="B187" s="13" t="str">
        <f aca="false">IF(COUNTIFS(Reservas!$G$2:$G$501,"*,"&amp;A187&amp;",*",Reservas!$E$2:$E$501,"&lt;&gt;No")+COUNTIFS(Reservas!$G$2:$G$501,"*,"&amp;TEXT(A187,"00")&amp;",*",Reservas!$E$2:$E$501,"&lt;&gt;No")+COUNTIFS(Reservas!$G$2:$G$501,"*,"&amp;TEXT(A187,"000")&amp;",*",Reservas!$E$2:$E$501,"&lt;&gt;No")&gt;0,"vendido",IF(COUNTIF(Reservas!$G$2:$G$501,"*,"&amp;A187&amp;",*")+COUNTIF(Reservas!$G$2:$G$501,"*,"&amp;TEXT(A187,"00")&amp;",*")+COUNTIF(Reservas!$G$2:$G$501,"*,"&amp;TEXT(A187,"000")&amp;",*")&gt;0,"reservado","disponible"))</f>
        <v>disponible</v>
      </c>
    </row>
    <row r="188" customFormat="false" ht="15" hidden="false" customHeight="false" outlineLevel="0" collapsed="false">
      <c r="A188" s="13" t="n">
        <v>187</v>
      </c>
      <c r="B188" s="13" t="str">
        <f aca="false">IF(COUNTIFS(Reservas!$G$2:$G$501,"*,"&amp;A188&amp;",*",Reservas!$E$2:$E$501,"&lt;&gt;No")+COUNTIFS(Reservas!$G$2:$G$501,"*,"&amp;TEXT(A188,"00")&amp;",*",Reservas!$E$2:$E$501,"&lt;&gt;No")+COUNTIFS(Reservas!$G$2:$G$501,"*,"&amp;TEXT(A188,"000")&amp;",*",Reservas!$E$2:$E$501,"&lt;&gt;No")&gt;0,"vendido",IF(COUNTIF(Reservas!$G$2:$G$501,"*,"&amp;A188&amp;",*")+COUNTIF(Reservas!$G$2:$G$501,"*,"&amp;TEXT(A188,"00")&amp;",*")+COUNTIF(Reservas!$G$2:$G$501,"*,"&amp;TEXT(A188,"000")&amp;",*")&gt;0,"reservado","disponible"))</f>
        <v>disponible</v>
      </c>
    </row>
    <row r="189" customFormat="false" ht="15" hidden="false" customHeight="false" outlineLevel="0" collapsed="false">
      <c r="A189" s="13" t="n">
        <v>188</v>
      </c>
      <c r="B189" s="13" t="str">
        <f aca="false">IF(COUNTIFS(Reservas!$G$2:$G$501,"*,"&amp;A189&amp;",*",Reservas!$E$2:$E$501,"&lt;&gt;No")+COUNTIFS(Reservas!$G$2:$G$501,"*,"&amp;TEXT(A189,"00")&amp;",*",Reservas!$E$2:$E$501,"&lt;&gt;No")+COUNTIFS(Reservas!$G$2:$G$501,"*,"&amp;TEXT(A189,"000")&amp;",*",Reservas!$E$2:$E$501,"&lt;&gt;No")&gt;0,"vendido",IF(COUNTIF(Reservas!$G$2:$G$501,"*,"&amp;A189&amp;",*")+COUNTIF(Reservas!$G$2:$G$501,"*,"&amp;TEXT(A189,"00")&amp;",*")+COUNTIF(Reservas!$G$2:$G$501,"*,"&amp;TEXT(A189,"000")&amp;",*")&gt;0,"reservado","disponible"))</f>
        <v>disponible</v>
      </c>
    </row>
    <row r="190" customFormat="false" ht="15" hidden="false" customHeight="false" outlineLevel="0" collapsed="false">
      <c r="A190" s="13" t="n">
        <v>189</v>
      </c>
      <c r="B190" s="13" t="str">
        <f aca="false">IF(COUNTIFS(Reservas!$G$2:$G$501,"*,"&amp;A190&amp;",*",Reservas!$E$2:$E$501,"&lt;&gt;No")+COUNTIFS(Reservas!$G$2:$G$501,"*,"&amp;TEXT(A190,"00")&amp;",*",Reservas!$E$2:$E$501,"&lt;&gt;No")+COUNTIFS(Reservas!$G$2:$G$501,"*,"&amp;TEXT(A190,"000")&amp;",*",Reservas!$E$2:$E$501,"&lt;&gt;No")&gt;0,"vendido",IF(COUNTIF(Reservas!$G$2:$G$501,"*,"&amp;A190&amp;",*")+COUNTIF(Reservas!$G$2:$G$501,"*,"&amp;TEXT(A190,"00")&amp;",*")+COUNTIF(Reservas!$G$2:$G$501,"*,"&amp;TEXT(A190,"000")&amp;",*")&gt;0,"reservado","disponible"))</f>
        <v>disponible</v>
      </c>
    </row>
    <row r="191" customFormat="false" ht="15" hidden="false" customHeight="false" outlineLevel="0" collapsed="false">
      <c r="A191" s="13" t="n">
        <v>190</v>
      </c>
      <c r="B191" s="13" t="str">
        <f aca="false">IF(COUNTIFS(Reservas!$G$2:$G$501,"*,"&amp;A191&amp;",*",Reservas!$E$2:$E$501,"&lt;&gt;No")+COUNTIFS(Reservas!$G$2:$G$501,"*,"&amp;TEXT(A191,"00")&amp;",*",Reservas!$E$2:$E$501,"&lt;&gt;No")+COUNTIFS(Reservas!$G$2:$G$501,"*,"&amp;TEXT(A191,"000")&amp;",*",Reservas!$E$2:$E$501,"&lt;&gt;No")&gt;0,"vendido",IF(COUNTIF(Reservas!$G$2:$G$501,"*,"&amp;A191&amp;",*")+COUNTIF(Reservas!$G$2:$G$501,"*,"&amp;TEXT(A191,"00")&amp;",*")+COUNTIF(Reservas!$G$2:$G$501,"*,"&amp;TEXT(A191,"000")&amp;",*")&gt;0,"reservado","disponible"))</f>
        <v>disponible</v>
      </c>
    </row>
    <row r="192" customFormat="false" ht="15" hidden="false" customHeight="false" outlineLevel="0" collapsed="false">
      <c r="A192" s="13" t="n">
        <v>191</v>
      </c>
      <c r="B192" s="13" t="str">
        <f aca="false">IF(COUNTIFS(Reservas!$G$2:$G$501,"*,"&amp;A192&amp;",*",Reservas!$E$2:$E$501,"&lt;&gt;No")+COUNTIFS(Reservas!$G$2:$G$501,"*,"&amp;TEXT(A192,"00")&amp;",*",Reservas!$E$2:$E$501,"&lt;&gt;No")+COUNTIFS(Reservas!$G$2:$G$501,"*,"&amp;TEXT(A192,"000")&amp;",*",Reservas!$E$2:$E$501,"&lt;&gt;No")&gt;0,"vendido",IF(COUNTIF(Reservas!$G$2:$G$501,"*,"&amp;A192&amp;",*")+COUNTIF(Reservas!$G$2:$G$501,"*,"&amp;TEXT(A192,"00")&amp;",*")+COUNTIF(Reservas!$G$2:$G$501,"*,"&amp;TEXT(A192,"000")&amp;",*")&gt;0,"reservado","disponible"))</f>
        <v>disponible</v>
      </c>
    </row>
    <row r="193" customFormat="false" ht="15" hidden="false" customHeight="false" outlineLevel="0" collapsed="false">
      <c r="A193" s="13" t="n">
        <v>192</v>
      </c>
      <c r="B193" s="13" t="str">
        <f aca="false">IF(COUNTIFS(Reservas!$G$2:$G$501,"*,"&amp;A193&amp;",*",Reservas!$E$2:$E$501,"&lt;&gt;No")+COUNTIFS(Reservas!$G$2:$G$501,"*,"&amp;TEXT(A193,"00")&amp;",*",Reservas!$E$2:$E$501,"&lt;&gt;No")+COUNTIFS(Reservas!$G$2:$G$501,"*,"&amp;TEXT(A193,"000")&amp;",*",Reservas!$E$2:$E$501,"&lt;&gt;No")&gt;0,"vendido",IF(COUNTIF(Reservas!$G$2:$G$501,"*,"&amp;A193&amp;",*")+COUNTIF(Reservas!$G$2:$G$501,"*,"&amp;TEXT(A193,"00")&amp;",*")+COUNTIF(Reservas!$G$2:$G$501,"*,"&amp;TEXT(A193,"000")&amp;",*")&gt;0,"reservado","disponible"))</f>
        <v>disponible</v>
      </c>
    </row>
    <row r="194" customFormat="false" ht="15" hidden="false" customHeight="false" outlineLevel="0" collapsed="false">
      <c r="A194" s="13" t="n">
        <v>193</v>
      </c>
      <c r="B194" s="13" t="str">
        <f aca="false">IF(COUNTIFS(Reservas!$G$2:$G$501,"*,"&amp;A194&amp;",*",Reservas!$E$2:$E$501,"&lt;&gt;No")+COUNTIFS(Reservas!$G$2:$G$501,"*,"&amp;TEXT(A194,"00")&amp;",*",Reservas!$E$2:$E$501,"&lt;&gt;No")+COUNTIFS(Reservas!$G$2:$G$501,"*,"&amp;TEXT(A194,"000")&amp;",*",Reservas!$E$2:$E$501,"&lt;&gt;No")&gt;0,"vendido",IF(COUNTIF(Reservas!$G$2:$G$501,"*,"&amp;A194&amp;",*")+COUNTIF(Reservas!$G$2:$G$501,"*,"&amp;TEXT(A194,"00")&amp;",*")+COUNTIF(Reservas!$G$2:$G$501,"*,"&amp;TEXT(A194,"000")&amp;",*")&gt;0,"reservado","disponible"))</f>
        <v>disponible</v>
      </c>
    </row>
    <row r="195" customFormat="false" ht="15" hidden="false" customHeight="false" outlineLevel="0" collapsed="false">
      <c r="A195" s="13" t="n">
        <v>194</v>
      </c>
      <c r="B195" s="13" t="str">
        <f aca="false">IF(COUNTIFS(Reservas!$G$2:$G$501,"*,"&amp;A195&amp;",*",Reservas!$E$2:$E$501,"&lt;&gt;No")+COUNTIFS(Reservas!$G$2:$G$501,"*,"&amp;TEXT(A195,"00")&amp;",*",Reservas!$E$2:$E$501,"&lt;&gt;No")+COUNTIFS(Reservas!$G$2:$G$501,"*,"&amp;TEXT(A195,"000")&amp;",*",Reservas!$E$2:$E$501,"&lt;&gt;No")&gt;0,"vendido",IF(COUNTIF(Reservas!$G$2:$G$501,"*,"&amp;A195&amp;",*")+COUNTIF(Reservas!$G$2:$G$501,"*,"&amp;TEXT(A195,"00")&amp;",*")+COUNTIF(Reservas!$G$2:$G$501,"*,"&amp;TEXT(A195,"000")&amp;",*")&gt;0,"reservado","disponible"))</f>
        <v>disponible</v>
      </c>
    </row>
    <row r="196" customFormat="false" ht="15" hidden="false" customHeight="false" outlineLevel="0" collapsed="false">
      <c r="A196" s="13" t="n">
        <v>195</v>
      </c>
      <c r="B196" s="13" t="str">
        <f aca="false">IF(COUNTIFS(Reservas!$G$2:$G$501,"*,"&amp;A196&amp;",*",Reservas!$E$2:$E$501,"&lt;&gt;No")+COUNTIFS(Reservas!$G$2:$G$501,"*,"&amp;TEXT(A196,"00")&amp;",*",Reservas!$E$2:$E$501,"&lt;&gt;No")+COUNTIFS(Reservas!$G$2:$G$501,"*,"&amp;TEXT(A196,"000")&amp;",*",Reservas!$E$2:$E$501,"&lt;&gt;No")&gt;0,"vendido",IF(COUNTIF(Reservas!$G$2:$G$501,"*,"&amp;A196&amp;",*")+COUNTIF(Reservas!$G$2:$G$501,"*,"&amp;TEXT(A196,"00")&amp;",*")+COUNTIF(Reservas!$G$2:$G$501,"*,"&amp;TEXT(A196,"000")&amp;",*")&gt;0,"reservado","disponible"))</f>
        <v>disponible</v>
      </c>
    </row>
    <row r="197" customFormat="false" ht="15" hidden="false" customHeight="false" outlineLevel="0" collapsed="false">
      <c r="A197" s="13" t="n">
        <v>196</v>
      </c>
      <c r="B197" s="13" t="str">
        <f aca="false">IF(COUNTIFS(Reservas!$G$2:$G$501,"*,"&amp;A197&amp;",*",Reservas!$E$2:$E$501,"&lt;&gt;No")+COUNTIFS(Reservas!$G$2:$G$501,"*,"&amp;TEXT(A197,"00")&amp;",*",Reservas!$E$2:$E$501,"&lt;&gt;No")+COUNTIFS(Reservas!$G$2:$G$501,"*,"&amp;TEXT(A197,"000")&amp;",*",Reservas!$E$2:$E$501,"&lt;&gt;No")&gt;0,"vendido",IF(COUNTIF(Reservas!$G$2:$G$501,"*,"&amp;A197&amp;",*")+COUNTIF(Reservas!$G$2:$G$501,"*,"&amp;TEXT(A197,"00")&amp;",*")+COUNTIF(Reservas!$G$2:$G$501,"*,"&amp;TEXT(A197,"000")&amp;",*")&gt;0,"reservado","disponible"))</f>
        <v>disponible</v>
      </c>
    </row>
    <row r="198" customFormat="false" ht="15" hidden="false" customHeight="false" outlineLevel="0" collapsed="false">
      <c r="A198" s="13" t="n">
        <v>197</v>
      </c>
      <c r="B198" s="13" t="str">
        <f aca="false">IF(COUNTIFS(Reservas!$G$2:$G$501,"*,"&amp;A198&amp;",*",Reservas!$E$2:$E$501,"&lt;&gt;No")+COUNTIFS(Reservas!$G$2:$G$501,"*,"&amp;TEXT(A198,"00")&amp;",*",Reservas!$E$2:$E$501,"&lt;&gt;No")+COUNTIFS(Reservas!$G$2:$G$501,"*,"&amp;TEXT(A198,"000")&amp;",*",Reservas!$E$2:$E$501,"&lt;&gt;No")&gt;0,"vendido",IF(COUNTIF(Reservas!$G$2:$G$501,"*,"&amp;A198&amp;",*")+COUNTIF(Reservas!$G$2:$G$501,"*,"&amp;TEXT(A198,"00")&amp;",*")+COUNTIF(Reservas!$G$2:$G$501,"*,"&amp;TEXT(A198,"000")&amp;",*")&gt;0,"reservado","disponible"))</f>
        <v>vendido</v>
      </c>
    </row>
    <row r="199" customFormat="false" ht="15" hidden="false" customHeight="false" outlineLevel="0" collapsed="false">
      <c r="A199" s="13" t="n">
        <v>198</v>
      </c>
      <c r="B199" s="13" t="str">
        <f aca="false">IF(COUNTIFS(Reservas!$G$2:$G$501,"*,"&amp;A199&amp;",*",Reservas!$E$2:$E$501,"&lt;&gt;No")+COUNTIFS(Reservas!$G$2:$G$501,"*,"&amp;TEXT(A199,"00")&amp;",*",Reservas!$E$2:$E$501,"&lt;&gt;No")+COUNTIFS(Reservas!$G$2:$G$501,"*,"&amp;TEXT(A199,"000")&amp;",*",Reservas!$E$2:$E$501,"&lt;&gt;No")&gt;0,"vendido",IF(COUNTIF(Reservas!$G$2:$G$501,"*,"&amp;A199&amp;",*")+COUNTIF(Reservas!$G$2:$G$501,"*,"&amp;TEXT(A199,"00")&amp;",*")+COUNTIF(Reservas!$G$2:$G$501,"*,"&amp;TEXT(A199,"000")&amp;",*")&gt;0,"reservado","disponible"))</f>
        <v>disponible</v>
      </c>
    </row>
    <row r="200" customFormat="false" ht="15" hidden="false" customHeight="false" outlineLevel="0" collapsed="false">
      <c r="A200" s="13" t="n">
        <v>199</v>
      </c>
      <c r="B200" s="13" t="str">
        <f aca="false">IF(COUNTIFS(Reservas!$G$2:$G$501,"*,"&amp;A200&amp;",*",Reservas!$E$2:$E$501,"&lt;&gt;No")+COUNTIFS(Reservas!$G$2:$G$501,"*,"&amp;TEXT(A200,"00")&amp;",*",Reservas!$E$2:$E$501,"&lt;&gt;No")+COUNTIFS(Reservas!$G$2:$G$501,"*,"&amp;TEXT(A200,"000")&amp;",*",Reservas!$E$2:$E$501,"&lt;&gt;No")&gt;0,"vendido",IF(COUNTIF(Reservas!$G$2:$G$501,"*,"&amp;A200&amp;",*")+COUNTIF(Reservas!$G$2:$G$501,"*,"&amp;TEXT(A200,"00")&amp;",*")+COUNTIF(Reservas!$G$2:$G$501,"*,"&amp;TEXT(A200,"000")&amp;",*")&gt;0,"reservado","disponible"))</f>
        <v>vendido</v>
      </c>
    </row>
    <row r="201" customFormat="false" ht="15" hidden="false" customHeight="false" outlineLevel="0" collapsed="false">
      <c r="A201" s="13" t="n">
        <v>200</v>
      </c>
      <c r="B201" s="13" t="str">
        <f aca="false">IF(COUNTIFS(Reservas!$G$2:$G$501,"*,"&amp;A201&amp;",*",Reservas!$E$2:$E$501,"&lt;&gt;No")+COUNTIFS(Reservas!$G$2:$G$501,"*,"&amp;TEXT(A201,"00")&amp;",*",Reservas!$E$2:$E$501,"&lt;&gt;No")+COUNTIFS(Reservas!$G$2:$G$501,"*,"&amp;TEXT(A201,"000")&amp;",*",Reservas!$E$2:$E$501,"&lt;&gt;No")&gt;0,"vendido",IF(COUNTIF(Reservas!$G$2:$G$501,"*,"&amp;A201&amp;",*")+COUNTIF(Reservas!$G$2:$G$501,"*,"&amp;TEXT(A201,"00")&amp;",*")+COUNTIF(Reservas!$G$2:$G$501,"*,"&amp;TEXT(A201,"000")&amp;",*")&gt;0,"reservado","disponible"))</f>
        <v>disponible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4" t="s">
        <v>47</v>
      </c>
      <c r="B1" s="4" t="s">
        <v>48</v>
      </c>
      <c r="C1" s="4" t="s">
        <v>49</v>
      </c>
    </row>
    <row r="2" customFormat="false" ht="15" hidden="false" customHeight="false" outlineLevel="0" collapsed="false">
      <c r="A2" s="14" t="s">
        <v>50</v>
      </c>
      <c r="B2" s="15" t="n">
        <f aca="false">SUMIF(Reservas!$E$2:$E$501,"&lt;&gt;No",Reservas!$D$2:$D$501)</f>
        <v>153000</v>
      </c>
      <c r="C2" s="16" t="s">
        <v>51</v>
      </c>
    </row>
    <row r="3" customFormat="false" ht="15" hidden="false" customHeight="false" outlineLevel="0" collapsed="false">
      <c r="A3" s="14" t="s">
        <v>52</v>
      </c>
      <c r="B3" s="15" t="n">
        <f aca="false">SUMIF(Reservas!$E$2:$E$501,"No",Reservas!$D$2:$D$501)</f>
        <v>0</v>
      </c>
      <c r="C3" s="16" t="s">
        <v>53</v>
      </c>
    </row>
    <row r="4" customFormat="false" ht="15" hidden="false" customHeight="false" outlineLevel="0" collapsed="false">
      <c r="A4" s="14" t="s">
        <v>54</v>
      </c>
      <c r="B4" s="17" t="n">
        <v>700000</v>
      </c>
      <c r="C4" s="16" t="s">
        <v>55</v>
      </c>
    </row>
    <row r="5" customFormat="false" ht="15" hidden="false" customHeight="false" outlineLevel="0" collapsed="false">
      <c r="A5" s="14" t="s">
        <v>56</v>
      </c>
      <c r="B5" s="18" t="n">
        <f aca="false">COUNTIF(Publico!$B$2:$B$201,"vendido")</f>
        <v>33</v>
      </c>
      <c r="C5" s="16" t="s">
        <v>57</v>
      </c>
    </row>
    <row r="6" customFormat="false" ht="15" hidden="false" customHeight="false" outlineLevel="0" collapsed="false">
      <c r="A6" s="14" t="s">
        <v>58</v>
      </c>
      <c r="B6" s="18" t="n">
        <f aca="false">COUNTIF(Publico!$B$2:$B$201,"reservado")</f>
        <v>0</v>
      </c>
      <c r="C6" s="16" t="s">
        <v>57</v>
      </c>
    </row>
    <row r="7" customFormat="false" ht="15" hidden="false" customHeight="false" outlineLevel="0" collapsed="false">
      <c r="A7" s="14" t="s">
        <v>59</v>
      </c>
      <c r="B7" s="18" t="n">
        <f aca="false">COUNTIF(Publico!$B$2:$B$201,"disponible")</f>
        <v>167</v>
      </c>
      <c r="C7" s="16" t="s">
        <v>57</v>
      </c>
    </row>
    <row r="8" customFormat="false" ht="15" hidden="false" customHeight="false" outlineLevel="0" collapsed="false">
      <c r="A8" s="14" t="s">
        <v>60</v>
      </c>
      <c r="B8" s="18" t="str">
        <f aca="false">IF(MAX(Reservas!$F$2:$F$501)=0,"",TEXT(MAX(Reservas!$F$2:$F$501),"yyyy-mm-dd hh:mm"))</f>
        <v/>
      </c>
      <c r="C8" s="16" t="s">
        <v>61</v>
      </c>
    </row>
    <row r="9" customFormat="false" ht="15" hidden="false" customHeight="false" outlineLevel="0" collapsed="false">
      <c r="A9" s="14" t="s">
        <v>62</v>
      </c>
      <c r="B9" s="17" t="n">
        <v>3500</v>
      </c>
      <c r="C9" s="16" t="s">
        <v>63</v>
      </c>
    </row>
    <row r="10" customFormat="false" ht="15" hidden="false" customHeight="false" outlineLevel="0" collapsed="false">
      <c r="A10" s="14" t="s">
        <v>64</v>
      </c>
      <c r="B10" s="17" t="n">
        <v>7000</v>
      </c>
      <c r="C10" s="16" t="s">
        <v>65</v>
      </c>
    </row>
    <row r="11" customFormat="false" ht="15" hidden="false" customHeight="false" outlineLevel="0" collapsed="false">
      <c r="A11" s="14" t="s">
        <v>66</v>
      </c>
      <c r="B11" s="19" t="s">
        <v>67</v>
      </c>
      <c r="C11" s="16" t="s">
        <v>68</v>
      </c>
    </row>
    <row r="12" customFormat="false" ht="15" hidden="false" customHeight="false" outlineLevel="0" collapsed="false">
      <c r="A12" s="14" t="s">
        <v>69</v>
      </c>
      <c r="B12" s="19" t="s">
        <v>70</v>
      </c>
      <c r="C12" s="16" t="s">
        <v>71</v>
      </c>
    </row>
    <row r="13" customFormat="false" ht="15" hidden="false" customHeight="false" outlineLevel="0" collapsed="false">
      <c r="A13" s="14" t="s">
        <v>72</v>
      </c>
      <c r="B13" s="20" t="s">
        <v>73</v>
      </c>
      <c r="C13" s="16" t="s">
        <v>74</v>
      </c>
    </row>
    <row r="14" customFormat="false" ht="15" hidden="false" customHeight="false" outlineLevel="0" collapsed="false">
      <c r="A14" s="14" t="s">
        <v>75</v>
      </c>
      <c r="B14" s="19" t="s">
        <v>76</v>
      </c>
      <c r="C14" s="16" t="s">
        <v>77</v>
      </c>
    </row>
    <row r="15" customFormat="false" ht="15" hidden="false" customHeight="false" outlineLevel="0" collapsed="false">
      <c r="A15" s="14" t="s">
        <v>78</v>
      </c>
      <c r="B15" s="19" t="s">
        <v>79</v>
      </c>
      <c r="C15" s="16" t="s">
        <v>77</v>
      </c>
    </row>
    <row r="16" customFormat="false" ht="15" hidden="false" customHeight="false" outlineLevel="0" collapsed="false">
      <c r="A16" s="14" t="s">
        <v>80</v>
      </c>
      <c r="B16" s="19" t="s">
        <v>79</v>
      </c>
      <c r="C16" s="16" t="s">
        <v>81</v>
      </c>
    </row>
    <row r="17" customFormat="false" ht="15" hidden="false" customHeight="false" outlineLevel="0" collapsed="false">
      <c r="A17" s="14" t="s">
        <v>82</v>
      </c>
      <c r="B17" s="19" t="s">
        <v>83</v>
      </c>
      <c r="C17" s="16" t="s">
        <v>84</v>
      </c>
    </row>
    <row r="18" customFormat="false" ht="15" hidden="false" customHeight="false" outlineLevel="0" collapsed="false">
      <c r="A18" s="14" t="s">
        <v>85</v>
      </c>
      <c r="B18" s="20"/>
      <c r="C18" s="16" t="s">
        <v>86</v>
      </c>
    </row>
    <row r="19" customFormat="false" ht="15" hidden="false" customHeight="false" outlineLevel="0" collapsed="false">
      <c r="A19" s="14" t="s">
        <v>87</v>
      </c>
      <c r="B19" s="20"/>
      <c r="C19" s="16" t="s">
        <v>77</v>
      </c>
    </row>
    <row r="20" customFormat="false" ht="15" hidden="false" customHeight="false" outlineLevel="0" collapsed="false">
      <c r="A20" s="14" t="s">
        <v>88</v>
      </c>
      <c r="B20" s="20"/>
      <c r="C20" s="16" t="s">
        <v>77</v>
      </c>
    </row>
    <row r="21" customFormat="false" ht="15" hidden="false" customHeight="false" outlineLevel="0" collapsed="false">
      <c r="A21" s="14" t="s">
        <v>89</v>
      </c>
      <c r="B21" s="19"/>
      <c r="C21" s="16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7"/>
  </cols>
  <sheetData>
    <row r="1" customFormat="false" ht="15" hidden="false" customHeight="false" outlineLevel="0" collapsed="false">
      <c r="A1" s="21" t="s">
        <v>91</v>
      </c>
    </row>
    <row r="3" customFormat="false" ht="15" hidden="false" customHeight="false" outlineLevel="0" collapsed="false">
      <c r="A3" s="22" t="n">
        <v>1</v>
      </c>
      <c r="B3" s="22" t="n">
        <v>2</v>
      </c>
      <c r="C3" s="22" t="n">
        <v>3</v>
      </c>
      <c r="D3" s="22" t="n">
        <v>4</v>
      </c>
      <c r="E3" s="22" t="n">
        <v>5</v>
      </c>
      <c r="F3" s="22" t="n">
        <v>6</v>
      </c>
      <c r="G3" s="22" t="n">
        <v>7</v>
      </c>
      <c r="H3" s="22" t="n">
        <v>8</v>
      </c>
      <c r="I3" s="22" t="n">
        <v>9</v>
      </c>
      <c r="J3" s="22" t="n">
        <v>10</v>
      </c>
      <c r="L3" s="23"/>
      <c r="M3" s="13" t="s">
        <v>92</v>
      </c>
    </row>
    <row r="4" customFormat="false" ht="15" hidden="false" customHeight="false" outlineLevel="0" collapsed="false">
      <c r="A4" s="22" t="n">
        <v>11</v>
      </c>
      <c r="B4" s="22" t="n">
        <v>12</v>
      </c>
      <c r="C4" s="22" t="n">
        <v>13</v>
      </c>
      <c r="D4" s="22" t="n">
        <v>14</v>
      </c>
      <c r="E4" s="22" t="n">
        <v>15</v>
      </c>
      <c r="F4" s="22" t="n">
        <v>16</v>
      </c>
      <c r="G4" s="22" t="n">
        <v>17</v>
      </c>
      <c r="H4" s="22" t="n">
        <v>18</v>
      </c>
      <c r="I4" s="22" t="n">
        <v>19</v>
      </c>
      <c r="J4" s="22" t="n">
        <v>20</v>
      </c>
      <c r="L4" s="24"/>
      <c r="M4" s="13" t="s">
        <v>93</v>
      </c>
    </row>
    <row r="5" customFormat="false" ht="15" hidden="false" customHeight="false" outlineLevel="0" collapsed="false">
      <c r="A5" s="22" t="n">
        <v>21</v>
      </c>
      <c r="B5" s="22" t="n">
        <v>22</v>
      </c>
      <c r="C5" s="22" t="n">
        <v>23</v>
      </c>
      <c r="D5" s="22" t="n">
        <v>24</v>
      </c>
      <c r="E5" s="22" t="n">
        <v>25</v>
      </c>
      <c r="F5" s="22" t="n">
        <v>26</v>
      </c>
      <c r="G5" s="22" t="n">
        <v>27</v>
      </c>
      <c r="H5" s="22" t="n">
        <v>28</v>
      </c>
      <c r="I5" s="22" t="n">
        <v>29</v>
      </c>
      <c r="J5" s="22" t="n">
        <v>30</v>
      </c>
      <c r="L5" s="25"/>
      <c r="M5" s="13" t="s">
        <v>94</v>
      </c>
    </row>
    <row r="6" customFormat="false" ht="15" hidden="false" customHeight="false" outlineLevel="0" collapsed="false">
      <c r="A6" s="22" t="n">
        <v>31</v>
      </c>
      <c r="B6" s="22" t="n">
        <v>32</v>
      </c>
      <c r="C6" s="22" t="n">
        <v>33</v>
      </c>
      <c r="D6" s="22" t="n">
        <v>34</v>
      </c>
      <c r="E6" s="22" t="n">
        <v>35</v>
      </c>
      <c r="F6" s="22" t="n">
        <v>36</v>
      </c>
      <c r="G6" s="22" t="n">
        <v>37</v>
      </c>
      <c r="H6" s="22" t="n">
        <v>38</v>
      </c>
      <c r="I6" s="22" t="n">
        <v>39</v>
      </c>
      <c r="J6" s="22" t="n">
        <v>40</v>
      </c>
    </row>
    <row r="7" customFormat="false" ht="15" hidden="false" customHeight="false" outlineLevel="0" collapsed="false">
      <c r="A7" s="22" t="n">
        <v>41</v>
      </c>
      <c r="B7" s="22" t="n">
        <v>42</v>
      </c>
      <c r="C7" s="22" t="n">
        <v>43</v>
      </c>
      <c r="D7" s="22" t="n">
        <v>44</v>
      </c>
      <c r="E7" s="22" t="n">
        <v>45</v>
      </c>
      <c r="F7" s="22" t="n">
        <v>46</v>
      </c>
      <c r="G7" s="22" t="n">
        <v>47</v>
      </c>
      <c r="H7" s="22" t="n">
        <v>48</v>
      </c>
      <c r="I7" s="22" t="n">
        <v>49</v>
      </c>
      <c r="J7" s="22" t="n">
        <v>50</v>
      </c>
    </row>
    <row r="8" customFormat="false" ht="15" hidden="false" customHeight="false" outlineLevel="0" collapsed="false">
      <c r="A8" s="22" t="n">
        <v>51</v>
      </c>
      <c r="B8" s="22" t="n">
        <v>52</v>
      </c>
      <c r="C8" s="22" t="n">
        <v>53</v>
      </c>
      <c r="D8" s="22" t="n">
        <v>54</v>
      </c>
      <c r="E8" s="22" t="n">
        <v>55</v>
      </c>
      <c r="F8" s="22" t="n">
        <v>56</v>
      </c>
      <c r="G8" s="22" t="n">
        <v>57</v>
      </c>
      <c r="H8" s="22" t="n">
        <v>58</v>
      </c>
      <c r="I8" s="22" t="n">
        <v>59</v>
      </c>
      <c r="J8" s="22" t="n">
        <v>60</v>
      </c>
    </row>
    <row r="9" customFormat="false" ht="15" hidden="false" customHeight="false" outlineLevel="0" collapsed="false">
      <c r="A9" s="22" t="n">
        <v>61</v>
      </c>
      <c r="B9" s="22" t="n">
        <v>62</v>
      </c>
      <c r="C9" s="22" t="n">
        <v>63</v>
      </c>
      <c r="D9" s="22" t="n">
        <v>64</v>
      </c>
      <c r="E9" s="22" t="n">
        <v>65</v>
      </c>
      <c r="F9" s="22" t="n">
        <v>66</v>
      </c>
      <c r="G9" s="22" t="n">
        <v>67</v>
      </c>
      <c r="H9" s="22" t="n">
        <v>68</v>
      </c>
      <c r="I9" s="22" t="n">
        <v>69</v>
      </c>
      <c r="J9" s="22" t="n">
        <v>70</v>
      </c>
    </row>
    <row r="10" customFormat="false" ht="15" hidden="false" customHeight="false" outlineLevel="0" collapsed="false">
      <c r="A10" s="22" t="n">
        <v>71</v>
      </c>
      <c r="B10" s="22" t="n">
        <v>72</v>
      </c>
      <c r="C10" s="22" t="n">
        <v>73</v>
      </c>
      <c r="D10" s="22" t="n">
        <v>74</v>
      </c>
      <c r="E10" s="22" t="n">
        <v>75</v>
      </c>
      <c r="F10" s="22" t="n">
        <v>76</v>
      </c>
      <c r="G10" s="22" t="n">
        <v>77</v>
      </c>
      <c r="H10" s="22" t="n">
        <v>78</v>
      </c>
      <c r="I10" s="22" t="n">
        <v>79</v>
      </c>
      <c r="J10" s="22" t="n">
        <v>80</v>
      </c>
    </row>
    <row r="11" customFormat="false" ht="15" hidden="false" customHeight="false" outlineLevel="0" collapsed="false">
      <c r="A11" s="22" t="n">
        <v>81</v>
      </c>
      <c r="B11" s="22" t="n">
        <v>82</v>
      </c>
      <c r="C11" s="22" t="n">
        <v>83</v>
      </c>
      <c r="D11" s="22" t="n">
        <v>84</v>
      </c>
      <c r="E11" s="22" t="n">
        <v>85</v>
      </c>
      <c r="F11" s="22" t="n">
        <v>86</v>
      </c>
      <c r="G11" s="22" t="n">
        <v>87</v>
      </c>
      <c r="H11" s="22" t="n">
        <v>88</v>
      </c>
      <c r="I11" s="22" t="n">
        <v>89</v>
      </c>
      <c r="J11" s="22" t="n">
        <v>90</v>
      </c>
    </row>
    <row r="12" customFormat="false" ht="15" hidden="false" customHeight="false" outlineLevel="0" collapsed="false">
      <c r="A12" s="22" t="n">
        <v>91</v>
      </c>
      <c r="B12" s="22" t="n">
        <v>92</v>
      </c>
      <c r="C12" s="22" t="n">
        <v>93</v>
      </c>
      <c r="D12" s="22" t="n">
        <v>94</v>
      </c>
      <c r="E12" s="22" t="n">
        <v>95</v>
      </c>
      <c r="F12" s="22" t="n">
        <v>96</v>
      </c>
      <c r="G12" s="22" t="n">
        <v>97</v>
      </c>
      <c r="H12" s="22" t="n">
        <v>98</v>
      </c>
      <c r="I12" s="22" t="n">
        <v>99</v>
      </c>
      <c r="J12" s="22" t="n">
        <v>100</v>
      </c>
    </row>
    <row r="13" customFormat="false" ht="15" hidden="false" customHeight="false" outlineLevel="0" collapsed="false">
      <c r="A13" s="22" t="n">
        <v>101</v>
      </c>
      <c r="B13" s="22" t="n">
        <v>102</v>
      </c>
      <c r="C13" s="22" t="n">
        <v>103</v>
      </c>
      <c r="D13" s="22" t="n">
        <v>104</v>
      </c>
      <c r="E13" s="22" t="n">
        <v>105</v>
      </c>
      <c r="F13" s="22" t="n">
        <v>106</v>
      </c>
      <c r="G13" s="22" t="n">
        <v>107</v>
      </c>
      <c r="H13" s="22" t="n">
        <v>108</v>
      </c>
      <c r="I13" s="22" t="n">
        <v>109</v>
      </c>
      <c r="J13" s="22" t="n">
        <v>110</v>
      </c>
    </row>
    <row r="14" customFormat="false" ht="15" hidden="false" customHeight="false" outlineLevel="0" collapsed="false">
      <c r="A14" s="22" t="n">
        <v>111</v>
      </c>
      <c r="B14" s="22" t="n">
        <v>112</v>
      </c>
      <c r="C14" s="22" t="n">
        <v>113</v>
      </c>
      <c r="D14" s="22" t="n">
        <v>114</v>
      </c>
      <c r="E14" s="22" t="n">
        <v>115</v>
      </c>
      <c r="F14" s="22" t="n">
        <v>116</v>
      </c>
      <c r="G14" s="22" t="n">
        <v>117</v>
      </c>
      <c r="H14" s="22" t="n">
        <v>118</v>
      </c>
      <c r="I14" s="22" t="n">
        <v>119</v>
      </c>
      <c r="J14" s="22" t="n">
        <v>120</v>
      </c>
    </row>
    <row r="15" customFormat="false" ht="15" hidden="false" customHeight="false" outlineLevel="0" collapsed="false">
      <c r="A15" s="22" t="n">
        <v>121</v>
      </c>
      <c r="B15" s="22" t="n">
        <v>122</v>
      </c>
      <c r="C15" s="22" t="n">
        <v>123</v>
      </c>
      <c r="D15" s="22" t="n">
        <v>124</v>
      </c>
      <c r="E15" s="22" t="n">
        <v>125</v>
      </c>
      <c r="F15" s="22" t="n">
        <v>126</v>
      </c>
      <c r="G15" s="22" t="n">
        <v>127</v>
      </c>
      <c r="H15" s="22" t="n">
        <v>128</v>
      </c>
      <c r="I15" s="22" t="n">
        <v>129</v>
      </c>
      <c r="J15" s="22" t="n">
        <v>130</v>
      </c>
    </row>
    <row r="16" customFormat="false" ht="15" hidden="false" customHeight="false" outlineLevel="0" collapsed="false">
      <c r="A16" s="22" t="n">
        <v>131</v>
      </c>
      <c r="B16" s="22" t="n">
        <v>132</v>
      </c>
      <c r="C16" s="22" t="n">
        <v>133</v>
      </c>
      <c r="D16" s="22" t="n">
        <v>134</v>
      </c>
      <c r="E16" s="22" t="n">
        <v>135</v>
      </c>
      <c r="F16" s="22" t="n">
        <v>136</v>
      </c>
      <c r="G16" s="22" t="n">
        <v>137</v>
      </c>
      <c r="H16" s="22" t="n">
        <v>138</v>
      </c>
      <c r="I16" s="22" t="n">
        <v>139</v>
      </c>
      <c r="J16" s="22" t="n">
        <v>140</v>
      </c>
    </row>
    <row r="17" customFormat="false" ht="15" hidden="false" customHeight="false" outlineLevel="0" collapsed="false">
      <c r="A17" s="22" t="n">
        <v>141</v>
      </c>
      <c r="B17" s="22" t="n">
        <v>142</v>
      </c>
      <c r="C17" s="22" t="n">
        <v>143</v>
      </c>
      <c r="D17" s="22" t="n">
        <v>144</v>
      </c>
      <c r="E17" s="22" t="n">
        <v>145</v>
      </c>
      <c r="F17" s="22" t="n">
        <v>146</v>
      </c>
      <c r="G17" s="22" t="n">
        <v>147</v>
      </c>
      <c r="H17" s="22" t="n">
        <v>148</v>
      </c>
      <c r="I17" s="22" t="n">
        <v>149</v>
      </c>
      <c r="J17" s="22" t="n">
        <v>150</v>
      </c>
    </row>
    <row r="18" customFormat="false" ht="15" hidden="false" customHeight="false" outlineLevel="0" collapsed="false">
      <c r="A18" s="22" t="n">
        <v>151</v>
      </c>
      <c r="B18" s="22" t="n">
        <v>152</v>
      </c>
      <c r="C18" s="22" t="n">
        <v>153</v>
      </c>
      <c r="D18" s="22" t="n">
        <v>154</v>
      </c>
      <c r="E18" s="22" t="n">
        <v>155</v>
      </c>
      <c r="F18" s="22" t="n">
        <v>156</v>
      </c>
      <c r="G18" s="22" t="n">
        <v>157</v>
      </c>
      <c r="H18" s="22" t="n">
        <v>158</v>
      </c>
      <c r="I18" s="22" t="n">
        <v>159</v>
      </c>
      <c r="J18" s="22" t="n">
        <v>160</v>
      </c>
    </row>
    <row r="19" customFormat="false" ht="15" hidden="false" customHeight="false" outlineLevel="0" collapsed="false">
      <c r="A19" s="22" t="n">
        <v>161</v>
      </c>
      <c r="B19" s="22" t="n">
        <v>162</v>
      </c>
      <c r="C19" s="22" t="n">
        <v>163</v>
      </c>
      <c r="D19" s="22" t="n">
        <v>164</v>
      </c>
      <c r="E19" s="22" t="n">
        <v>165</v>
      </c>
      <c r="F19" s="22" t="n">
        <v>166</v>
      </c>
      <c r="G19" s="22" t="n">
        <v>167</v>
      </c>
      <c r="H19" s="22" t="n">
        <v>168</v>
      </c>
      <c r="I19" s="22" t="n">
        <v>169</v>
      </c>
      <c r="J19" s="22" t="n">
        <v>170</v>
      </c>
    </row>
    <row r="20" customFormat="false" ht="15" hidden="false" customHeight="false" outlineLevel="0" collapsed="false">
      <c r="A20" s="22" t="n">
        <v>171</v>
      </c>
      <c r="B20" s="22" t="n">
        <v>172</v>
      </c>
      <c r="C20" s="22" t="n">
        <v>173</v>
      </c>
      <c r="D20" s="22" t="n">
        <v>174</v>
      </c>
      <c r="E20" s="22" t="n">
        <v>175</v>
      </c>
      <c r="F20" s="22" t="n">
        <v>176</v>
      </c>
      <c r="G20" s="22" t="n">
        <v>177</v>
      </c>
      <c r="H20" s="22" t="n">
        <v>178</v>
      </c>
      <c r="I20" s="22" t="n">
        <v>179</v>
      </c>
      <c r="J20" s="22" t="n">
        <v>180</v>
      </c>
    </row>
    <row r="21" customFormat="false" ht="15" hidden="false" customHeight="false" outlineLevel="0" collapsed="false">
      <c r="A21" s="22" t="n">
        <v>181</v>
      </c>
      <c r="B21" s="22" t="n">
        <v>182</v>
      </c>
      <c r="C21" s="22" t="n">
        <v>183</v>
      </c>
      <c r="D21" s="22" t="n">
        <v>184</v>
      </c>
      <c r="E21" s="22" t="n">
        <v>185</v>
      </c>
      <c r="F21" s="22" t="n">
        <v>186</v>
      </c>
      <c r="G21" s="22" t="n">
        <v>187</v>
      </c>
      <c r="H21" s="22" t="n">
        <v>188</v>
      </c>
      <c r="I21" s="22" t="n">
        <v>189</v>
      </c>
      <c r="J21" s="22" t="n">
        <v>190</v>
      </c>
    </row>
    <row r="22" customFormat="false" ht="15" hidden="false" customHeight="false" outlineLevel="0" collapsed="false">
      <c r="A22" s="22" t="n">
        <v>191</v>
      </c>
      <c r="B22" s="22" t="n">
        <v>192</v>
      </c>
      <c r="C22" s="22" t="n">
        <v>193</v>
      </c>
      <c r="D22" s="22" t="n">
        <v>194</v>
      </c>
      <c r="E22" s="22" t="n">
        <v>195</v>
      </c>
      <c r="F22" s="22" t="n">
        <v>196</v>
      </c>
      <c r="G22" s="22" t="n">
        <v>197</v>
      </c>
      <c r="H22" s="22" t="n">
        <v>198</v>
      </c>
      <c r="I22" s="22" t="n">
        <v>199</v>
      </c>
      <c r="J22" s="22" t="n">
        <v>200</v>
      </c>
    </row>
  </sheetData>
  <conditionalFormatting sqref="A3:J22">
    <cfRule type="expression" priority="2" aboveAverage="0" equalAverage="0" bottom="0" percent="0" rank="0" text="" dxfId="0">
      <formula>INDEX(INDIRECT("Publico!B2:B201"),A3)="vendido"</formula>
    </cfRule>
    <cfRule type="expression" priority="3" aboveAverage="0" equalAverage="0" bottom="0" percent="0" rank="0" text="" dxfId="1">
      <formula>INDEX(INDIRECT("Publico!B2:B201"),A3)="reservado"</formula>
    </cfRule>
    <cfRule type="expression" priority="4" aboveAverage="0" equalAverage="0" bottom="0" percent="0" rank="0" text="" dxfId="2">
      <formula>INDEX(INDIRECT("Publico!B2:B201"),A3)="disponible"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4" t="s">
        <v>45</v>
      </c>
      <c r="B1" s="4" t="s">
        <v>95</v>
      </c>
      <c r="C1" s="4" t="s">
        <v>96</v>
      </c>
      <c r="E1" s="21" t="s">
        <v>97</v>
      </c>
      <c r="F1" s="26" t="n">
        <f aca="false">COUNTIF(B2:B201,"&gt;1")</f>
        <v>0</v>
      </c>
    </row>
    <row r="2" customFormat="false" ht="15" hidden="false" customHeight="false" outlineLevel="0" collapsed="false">
      <c r="A2" s="13" t="n">
        <v>1</v>
      </c>
      <c r="B2" s="13" t="n">
        <f aca="false">SUMPRODUCT(--((ISNUMBER(SEARCH(","&amp;A2&amp;",",Reservas!$G$2:$G$501)))+(ISNUMBER(SEARCH(","&amp;TEXT(A2,"00")&amp;",",Reservas!$G$2:$G$501)))+(ISNUMBER(SEARCH(","&amp;TEXT(A2,"000")&amp;",",Reservas!$G$2:$G$501)))&gt;0))</f>
        <v>1</v>
      </c>
      <c r="C2" s="27" t="str">
        <f aca="false">IF(B2&gt;1,"⚠ Número anotado en más de una reserva","")</f>
        <v/>
      </c>
      <c r="E2" s="28" t="s">
        <v>98</v>
      </c>
    </row>
    <row r="3" customFormat="false" ht="15" hidden="false" customHeight="false" outlineLevel="0" collapsed="false">
      <c r="A3" s="13" t="n">
        <v>2</v>
      </c>
      <c r="B3" s="13" t="n">
        <f aca="false">SUMPRODUCT(--((ISNUMBER(SEARCH(","&amp;A3&amp;",",Reservas!$G$2:$G$501)))+(ISNUMBER(SEARCH(","&amp;TEXT(A3,"00")&amp;",",Reservas!$G$2:$G$501)))+(ISNUMBER(SEARCH(","&amp;TEXT(A3,"000")&amp;",",Reservas!$G$2:$G$501)))&gt;0))</f>
        <v>0</v>
      </c>
      <c r="C3" s="27" t="str">
        <f aca="false">IF(B3&gt;1,"⚠ Número anotado en más de una reserva","")</f>
        <v/>
      </c>
    </row>
    <row r="4" customFormat="false" ht="15" hidden="false" customHeight="false" outlineLevel="0" collapsed="false">
      <c r="A4" s="13" t="n">
        <v>3</v>
      </c>
      <c r="B4" s="13" t="n">
        <f aca="false">SUMPRODUCT(--((ISNUMBER(SEARCH(","&amp;A4&amp;",",Reservas!$G$2:$G$501)))+(ISNUMBER(SEARCH(","&amp;TEXT(A4,"00")&amp;",",Reservas!$G$2:$G$501)))+(ISNUMBER(SEARCH(","&amp;TEXT(A4,"000")&amp;",",Reservas!$G$2:$G$501)))&gt;0))</f>
        <v>0</v>
      </c>
      <c r="C4" s="27" t="str">
        <f aca="false">IF(B4&gt;1,"⚠ Número anotado en más de una reserva","")</f>
        <v/>
      </c>
    </row>
    <row r="5" customFormat="false" ht="15" hidden="false" customHeight="false" outlineLevel="0" collapsed="false">
      <c r="A5" s="13" t="n">
        <v>4</v>
      </c>
      <c r="B5" s="13" t="n">
        <f aca="false">SUMPRODUCT(--((ISNUMBER(SEARCH(","&amp;A5&amp;",",Reservas!$G$2:$G$501)))+(ISNUMBER(SEARCH(","&amp;TEXT(A5,"00")&amp;",",Reservas!$G$2:$G$501)))+(ISNUMBER(SEARCH(","&amp;TEXT(A5,"000")&amp;",",Reservas!$G$2:$G$501)))&gt;0))</f>
        <v>0</v>
      </c>
      <c r="C5" s="27" t="str">
        <f aca="false">IF(B5&gt;1,"⚠ Número anotado en más de una reserva","")</f>
        <v/>
      </c>
    </row>
    <row r="6" customFormat="false" ht="15" hidden="false" customHeight="false" outlineLevel="0" collapsed="false">
      <c r="A6" s="13" t="n">
        <v>5</v>
      </c>
      <c r="B6" s="13" t="n">
        <f aca="false">SUMPRODUCT(--((ISNUMBER(SEARCH(","&amp;A6&amp;",",Reservas!$G$2:$G$501)))+(ISNUMBER(SEARCH(","&amp;TEXT(A6,"00")&amp;",",Reservas!$G$2:$G$501)))+(ISNUMBER(SEARCH(","&amp;TEXT(A6,"000")&amp;",",Reservas!$G$2:$G$501)))&gt;0))</f>
        <v>1</v>
      </c>
      <c r="C6" s="27" t="str">
        <f aca="false">IF(B6&gt;1,"⚠ Número anotado en más de una reserva","")</f>
        <v/>
      </c>
    </row>
    <row r="7" customFormat="false" ht="15" hidden="false" customHeight="false" outlineLevel="0" collapsed="false">
      <c r="A7" s="13" t="n">
        <v>6</v>
      </c>
      <c r="B7" s="13" t="n">
        <f aca="false">SUMPRODUCT(--((ISNUMBER(SEARCH(","&amp;A7&amp;",",Reservas!$G$2:$G$501)))+(ISNUMBER(SEARCH(","&amp;TEXT(A7,"00")&amp;",",Reservas!$G$2:$G$501)))+(ISNUMBER(SEARCH(","&amp;TEXT(A7,"000")&amp;",",Reservas!$G$2:$G$501)))&gt;0))</f>
        <v>0</v>
      </c>
      <c r="C7" s="27" t="str">
        <f aca="false">IF(B7&gt;1,"⚠ Número anotado en más de una reserva","")</f>
        <v/>
      </c>
    </row>
    <row r="8" customFormat="false" ht="15" hidden="false" customHeight="false" outlineLevel="0" collapsed="false">
      <c r="A8" s="13" t="n">
        <v>7</v>
      </c>
      <c r="B8" s="13" t="n">
        <f aca="false">SUMPRODUCT(--((ISNUMBER(SEARCH(","&amp;A8&amp;",",Reservas!$G$2:$G$501)))+(ISNUMBER(SEARCH(","&amp;TEXT(A8,"00")&amp;",",Reservas!$G$2:$G$501)))+(ISNUMBER(SEARCH(","&amp;TEXT(A8,"000")&amp;",",Reservas!$G$2:$G$501)))&gt;0))</f>
        <v>1</v>
      </c>
      <c r="C8" s="27" t="str">
        <f aca="false">IF(B8&gt;1,"⚠ Número anotado en más de una reserva","")</f>
        <v/>
      </c>
    </row>
    <row r="9" customFormat="false" ht="15" hidden="false" customHeight="false" outlineLevel="0" collapsed="false">
      <c r="A9" s="13" t="n">
        <v>8</v>
      </c>
      <c r="B9" s="13" t="n">
        <f aca="false">SUMPRODUCT(--((ISNUMBER(SEARCH(","&amp;A9&amp;",",Reservas!$G$2:$G$501)))+(ISNUMBER(SEARCH(","&amp;TEXT(A9,"00")&amp;",",Reservas!$G$2:$G$501)))+(ISNUMBER(SEARCH(","&amp;TEXT(A9,"000")&amp;",",Reservas!$G$2:$G$501)))&gt;0))</f>
        <v>1</v>
      </c>
      <c r="C9" s="27" t="str">
        <f aca="false">IF(B9&gt;1,"⚠ Número anotado en más de una reserva","")</f>
        <v/>
      </c>
    </row>
    <row r="10" customFormat="false" ht="15" hidden="false" customHeight="false" outlineLevel="0" collapsed="false">
      <c r="A10" s="13" t="n">
        <v>9</v>
      </c>
      <c r="B10" s="13" t="n">
        <f aca="false">SUMPRODUCT(--((ISNUMBER(SEARCH(","&amp;A10&amp;",",Reservas!$G$2:$G$501)))+(ISNUMBER(SEARCH(","&amp;TEXT(A10,"00")&amp;",",Reservas!$G$2:$G$501)))+(ISNUMBER(SEARCH(","&amp;TEXT(A10,"000")&amp;",",Reservas!$G$2:$G$501)))&gt;0))</f>
        <v>0</v>
      </c>
      <c r="C10" s="27" t="str">
        <f aca="false">IF(B10&gt;1,"⚠ Número anotado en más de una reserva","")</f>
        <v/>
      </c>
    </row>
    <row r="11" customFormat="false" ht="15" hidden="false" customHeight="false" outlineLevel="0" collapsed="false">
      <c r="A11" s="13" t="n">
        <v>10</v>
      </c>
      <c r="B11" s="13" t="n">
        <f aca="false">SUMPRODUCT(--((ISNUMBER(SEARCH(","&amp;A11&amp;",",Reservas!$G$2:$G$501)))+(ISNUMBER(SEARCH(","&amp;TEXT(A11,"00")&amp;",",Reservas!$G$2:$G$501)))+(ISNUMBER(SEARCH(","&amp;TEXT(A11,"000")&amp;",",Reservas!$G$2:$G$501)))&gt;0))</f>
        <v>1</v>
      </c>
      <c r="C11" s="27" t="str">
        <f aca="false">IF(B11&gt;1,"⚠ Número anotado en más de una reserva","")</f>
        <v/>
      </c>
    </row>
    <row r="12" customFormat="false" ht="15" hidden="false" customHeight="false" outlineLevel="0" collapsed="false">
      <c r="A12" s="13" t="n">
        <v>11</v>
      </c>
      <c r="B12" s="13" t="n">
        <f aca="false">SUMPRODUCT(--((ISNUMBER(SEARCH(","&amp;A12&amp;",",Reservas!$G$2:$G$501)))+(ISNUMBER(SEARCH(","&amp;TEXT(A12,"00")&amp;",",Reservas!$G$2:$G$501)))+(ISNUMBER(SEARCH(","&amp;TEXT(A12,"000")&amp;",",Reservas!$G$2:$G$501)))&gt;0))</f>
        <v>1</v>
      </c>
      <c r="C12" s="27" t="str">
        <f aca="false">IF(B12&gt;1,"⚠ Número anotado en más de una reserva","")</f>
        <v/>
      </c>
    </row>
    <row r="13" customFormat="false" ht="15" hidden="false" customHeight="false" outlineLevel="0" collapsed="false">
      <c r="A13" s="13" t="n">
        <v>12</v>
      </c>
      <c r="B13" s="13" t="n">
        <f aca="false">SUMPRODUCT(--((ISNUMBER(SEARCH(","&amp;A13&amp;",",Reservas!$G$2:$G$501)))+(ISNUMBER(SEARCH(","&amp;TEXT(A13,"00")&amp;",",Reservas!$G$2:$G$501)))+(ISNUMBER(SEARCH(","&amp;TEXT(A13,"000")&amp;",",Reservas!$G$2:$G$501)))&gt;0))</f>
        <v>1</v>
      </c>
      <c r="C13" s="27" t="str">
        <f aca="false">IF(B13&gt;1,"⚠ Número anotado en más de una reserva","")</f>
        <v/>
      </c>
    </row>
    <row r="14" customFormat="false" ht="15" hidden="false" customHeight="false" outlineLevel="0" collapsed="false">
      <c r="A14" s="13" t="n">
        <v>13</v>
      </c>
      <c r="B14" s="13" t="n">
        <f aca="false">SUMPRODUCT(--((ISNUMBER(SEARCH(","&amp;A14&amp;",",Reservas!$G$2:$G$501)))+(ISNUMBER(SEARCH(","&amp;TEXT(A14,"00")&amp;",",Reservas!$G$2:$G$501)))+(ISNUMBER(SEARCH(","&amp;TEXT(A14,"000")&amp;",",Reservas!$G$2:$G$501)))&gt;0))</f>
        <v>1</v>
      </c>
      <c r="C14" s="27" t="str">
        <f aca="false">IF(B14&gt;1,"⚠ Número anotado en más de una reserva","")</f>
        <v/>
      </c>
    </row>
    <row r="15" customFormat="false" ht="15" hidden="false" customHeight="false" outlineLevel="0" collapsed="false">
      <c r="A15" s="13" t="n">
        <v>14</v>
      </c>
      <c r="B15" s="13" t="n">
        <f aca="false">SUMPRODUCT(--((ISNUMBER(SEARCH(","&amp;A15&amp;",",Reservas!$G$2:$G$501)))+(ISNUMBER(SEARCH(","&amp;TEXT(A15,"00")&amp;",",Reservas!$G$2:$G$501)))+(ISNUMBER(SEARCH(","&amp;TEXT(A15,"000")&amp;",",Reservas!$G$2:$G$501)))&gt;0))</f>
        <v>1</v>
      </c>
      <c r="C15" s="27" t="str">
        <f aca="false">IF(B15&gt;1,"⚠ Número anotado en más de una reserva","")</f>
        <v/>
      </c>
    </row>
    <row r="16" customFormat="false" ht="15" hidden="false" customHeight="false" outlineLevel="0" collapsed="false">
      <c r="A16" s="13" t="n">
        <v>15</v>
      </c>
      <c r="B16" s="13" t="n">
        <f aca="false">SUMPRODUCT(--((ISNUMBER(SEARCH(","&amp;A16&amp;",",Reservas!$G$2:$G$501)))+(ISNUMBER(SEARCH(","&amp;TEXT(A16,"00")&amp;",",Reservas!$G$2:$G$501)))+(ISNUMBER(SEARCH(","&amp;TEXT(A16,"000")&amp;",",Reservas!$G$2:$G$501)))&gt;0))</f>
        <v>1</v>
      </c>
      <c r="C16" s="27" t="str">
        <f aca="false">IF(B16&gt;1,"⚠ Número anotado en más de una reserva","")</f>
        <v/>
      </c>
    </row>
    <row r="17" customFormat="false" ht="15" hidden="false" customHeight="false" outlineLevel="0" collapsed="false">
      <c r="A17" s="13" t="n">
        <v>16</v>
      </c>
      <c r="B17" s="13" t="n">
        <f aca="false">SUMPRODUCT(--((ISNUMBER(SEARCH(","&amp;A17&amp;",",Reservas!$G$2:$G$501)))+(ISNUMBER(SEARCH(","&amp;TEXT(A17,"00")&amp;",",Reservas!$G$2:$G$501)))+(ISNUMBER(SEARCH(","&amp;TEXT(A17,"000")&amp;",",Reservas!$G$2:$G$501)))&gt;0))</f>
        <v>0</v>
      </c>
      <c r="C17" s="27" t="str">
        <f aca="false">IF(B17&gt;1,"⚠ Número anotado en más de una reserva","")</f>
        <v/>
      </c>
    </row>
    <row r="18" customFormat="false" ht="15" hidden="false" customHeight="false" outlineLevel="0" collapsed="false">
      <c r="A18" s="13" t="n">
        <v>17</v>
      </c>
      <c r="B18" s="13" t="n">
        <f aca="false">SUMPRODUCT(--((ISNUMBER(SEARCH(","&amp;A18&amp;",",Reservas!$G$2:$G$501)))+(ISNUMBER(SEARCH(","&amp;TEXT(A18,"00")&amp;",",Reservas!$G$2:$G$501)))+(ISNUMBER(SEARCH(","&amp;TEXT(A18,"000")&amp;",",Reservas!$G$2:$G$501)))&gt;0))</f>
        <v>0</v>
      </c>
      <c r="C18" s="27" t="str">
        <f aca="false">IF(B18&gt;1,"⚠ Número anotado en más de una reserva","")</f>
        <v/>
      </c>
    </row>
    <row r="19" customFormat="false" ht="15" hidden="false" customHeight="false" outlineLevel="0" collapsed="false">
      <c r="A19" s="13" t="n">
        <v>18</v>
      </c>
      <c r="B19" s="13" t="n">
        <f aca="false">SUMPRODUCT(--((ISNUMBER(SEARCH(","&amp;A19&amp;",",Reservas!$G$2:$G$501)))+(ISNUMBER(SEARCH(","&amp;TEXT(A19,"00")&amp;",",Reservas!$G$2:$G$501)))+(ISNUMBER(SEARCH(","&amp;TEXT(A19,"000")&amp;",",Reservas!$G$2:$G$501)))&gt;0))</f>
        <v>0</v>
      </c>
      <c r="C19" s="27" t="str">
        <f aca="false">IF(B19&gt;1,"⚠ Número anotado en más de una reserva","")</f>
        <v/>
      </c>
    </row>
    <row r="20" customFormat="false" ht="15" hidden="false" customHeight="false" outlineLevel="0" collapsed="false">
      <c r="A20" s="13" t="n">
        <v>19</v>
      </c>
      <c r="B20" s="13" t="n">
        <f aca="false">SUMPRODUCT(--((ISNUMBER(SEARCH(","&amp;A20&amp;",",Reservas!$G$2:$G$501)))+(ISNUMBER(SEARCH(","&amp;TEXT(A20,"00")&amp;",",Reservas!$G$2:$G$501)))+(ISNUMBER(SEARCH(","&amp;TEXT(A20,"000")&amp;",",Reservas!$G$2:$G$501)))&gt;0))</f>
        <v>0</v>
      </c>
      <c r="C20" s="27" t="str">
        <f aca="false">IF(B20&gt;1,"⚠ Número anotado en más de una reserva","")</f>
        <v/>
      </c>
    </row>
    <row r="21" customFormat="false" ht="15" hidden="false" customHeight="false" outlineLevel="0" collapsed="false">
      <c r="A21" s="13" t="n">
        <v>20</v>
      </c>
      <c r="B21" s="13" t="n">
        <f aca="false">SUMPRODUCT(--((ISNUMBER(SEARCH(","&amp;A21&amp;",",Reservas!$G$2:$G$501)))+(ISNUMBER(SEARCH(","&amp;TEXT(A21,"00")&amp;",",Reservas!$G$2:$G$501)))+(ISNUMBER(SEARCH(","&amp;TEXT(A21,"000")&amp;",",Reservas!$G$2:$G$501)))&gt;0))</f>
        <v>0</v>
      </c>
      <c r="C21" s="27" t="str">
        <f aca="false">IF(B21&gt;1,"⚠ Número anotado en más de una reserva","")</f>
        <v/>
      </c>
    </row>
    <row r="22" customFormat="false" ht="15" hidden="false" customHeight="false" outlineLevel="0" collapsed="false">
      <c r="A22" s="13" t="n">
        <v>21</v>
      </c>
      <c r="B22" s="13" t="n">
        <f aca="false">SUMPRODUCT(--((ISNUMBER(SEARCH(","&amp;A22&amp;",",Reservas!$G$2:$G$501)))+(ISNUMBER(SEARCH(","&amp;TEXT(A22,"00")&amp;",",Reservas!$G$2:$G$501)))+(ISNUMBER(SEARCH(","&amp;TEXT(A22,"000")&amp;",",Reservas!$G$2:$G$501)))&gt;0))</f>
        <v>1</v>
      </c>
      <c r="C22" s="27" t="str">
        <f aca="false">IF(B22&gt;1,"⚠ Número anotado en más de una reserva","")</f>
        <v/>
      </c>
    </row>
    <row r="23" customFormat="false" ht="15" hidden="false" customHeight="false" outlineLevel="0" collapsed="false">
      <c r="A23" s="13" t="n">
        <v>22</v>
      </c>
      <c r="B23" s="13" t="n">
        <f aca="false">SUMPRODUCT(--((ISNUMBER(SEARCH(","&amp;A23&amp;",",Reservas!$G$2:$G$501)))+(ISNUMBER(SEARCH(","&amp;TEXT(A23,"00")&amp;",",Reservas!$G$2:$G$501)))+(ISNUMBER(SEARCH(","&amp;TEXT(A23,"000")&amp;",",Reservas!$G$2:$G$501)))&gt;0))</f>
        <v>1</v>
      </c>
      <c r="C23" s="27" t="str">
        <f aca="false">IF(B23&gt;1,"⚠ Número anotado en más de una reserva","")</f>
        <v/>
      </c>
    </row>
    <row r="24" customFormat="false" ht="15" hidden="false" customHeight="false" outlineLevel="0" collapsed="false">
      <c r="A24" s="13" t="n">
        <v>23</v>
      </c>
      <c r="B24" s="13" t="n">
        <f aca="false">SUMPRODUCT(--((ISNUMBER(SEARCH(","&amp;A24&amp;",",Reservas!$G$2:$G$501)))+(ISNUMBER(SEARCH(","&amp;TEXT(A24,"00")&amp;",",Reservas!$G$2:$G$501)))+(ISNUMBER(SEARCH(","&amp;TEXT(A24,"000")&amp;",",Reservas!$G$2:$G$501)))&gt;0))</f>
        <v>0</v>
      </c>
      <c r="C24" s="27" t="str">
        <f aca="false">IF(B24&gt;1,"⚠ Número anotado en más de una reserva","")</f>
        <v/>
      </c>
    </row>
    <row r="25" customFormat="false" ht="15" hidden="false" customHeight="false" outlineLevel="0" collapsed="false">
      <c r="A25" s="13" t="n">
        <v>24</v>
      </c>
      <c r="B25" s="13" t="n">
        <f aca="false">SUMPRODUCT(--((ISNUMBER(SEARCH(","&amp;A25&amp;",",Reservas!$G$2:$G$501)))+(ISNUMBER(SEARCH(","&amp;TEXT(A25,"00")&amp;",",Reservas!$G$2:$G$501)))+(ISNUMBER(SEARCH(","&amp;TEXT(A25,"000")&amp;",",Reservas!$G$2:$G$501)))&gt;0))</f>
        <v>0</v>
      </c>
      <c r="C25" s="27" t="str">
        <f aca="false">IF(B25&gt;1,"⚠ Número anotado en más de una reserva","")</f>
        <v/>
      </c>
    </row>
    <row r="26" customFormat="false" ht="15" hidden="false" customHeight="false" outlineLevel="0" collapsed="false">
      <c r="A26" s="13" t="n">
        <v>25</v>
      </c>
      <c r="B26" s="13" t="n">
        <f aca="false">SUMPRODUCT(--((ISNUMBER(SEARCH(","&amp;A26&amp;",",Reservas!$G$2:$G$501)))+(ISNUMBER(SEARCH(","&amp;TEXT(A26,"00")&amp;",",Reservas!$G$2:$G$501)))+(ISNUMBER(SEARCH(","&amp;TEXT(A26,"000")&amp;",",Reservas!$G$2:$G$501)))&gt;0))</f>
        <v>0</v>
      </c>
      <c r="C26" s="27" t="str">
        <f aca="false">IF(B26&gt;1,"⚠ Número anotado en más de una reserva","")</f>
        <v/>
      </c>
    </row>
    <row r="27" customFormat="false" ht="15" hidden="false" customHeight="false" outlineLevel="0" collapsed="false">
      <c r="A27" s="13" t="n">
        <v>26</v>
      </c>
      <c r="B27" s="13" t="n">
        <f aca="false">SUMPRODUCT(--((ISNUMBER(SEARCH(","&amp;A27&amp;",",Reservas!$G$2:$G$501)))+(ISNUMBER(SEARCH(","&amp;TEXT(A27,"00")&amp;",",Reservas!$G$2:$G$501)))+(ISNUMBER(SEARCH(","&amp;TEXT(A27,"000")&amp;",",Reservas!$G$2:$G$501)))&gt;0))</f>
        <v>0</v>
      </c>
      <c r="C27" s="27" t="str">
        <f aca="false">IF(B27&gt;1,"⚠ Número anotado en más de una reserva","")</f>
        <v/>
      </c>
    </row>
    <row r="28" customFormat="false" ht="15" hidden="false" customHeight="false" outlineLevel="0" collapsed="false">
      <c r="A28" s="13" t="n">
        <v>27</v>
      </c>
      <c r="B28" s="13" t="n">
        <f aca="false">SUMPRODUCT(--((ISNUMBER(SEARCH(","&amp;A28&amp;",",Reservas!$G$2:$G$501)))+(ISNUMBER(SEARCH(","&amp;TEXT(A28,"00")&amp;",",Reservas!$G$2:$G$501)))+(ISNUMBER(SEARCH(","&amp;TEXT(A28,"000")&amp;",",Reservas!$G$2:$G$501)))&gt;0))</f>
        <v>0</v>
      </c>
      <c r="C28" s="27" t="str">
        <f aca="false">IF(B28&gt;1,"⚠ Número anotado en más de una reserva","")</f>
        <v/>
      </c>
    </row>
    <row r="29" customFormat="false" ht="15" hidden="false" customHeight="false" outlineLevel="0" collapsed="false">
      <c r="A29" s="13" t="n">
        <v>28</v>
      </c>
      <c r="B29" s="13" t="n">
        <f aca="false">SUMPRODUCT(--((ISNUMBER(SEARCH(","&amp;A29&amp;",",Reservas!$G$2:$G$501)))+(ISNUMBER(SEARCH(","&amp;TEXT(A29,"00")&amp;",",Reservas!$G$2:$G$501)))+(ISNUMBER(SEARCH(","&amp;TEXT(A29,"000")&amp;",",Reservas!$G$2:$G$501)))&gt;0))</f>
        <v>1</v>
      </c>
      <c r="C29" s="27" t="str">
        <f aca="false">IF(B29&gt;1,"⚠ Número anotado en más de una reserva","")</f>
        <v/>
      </c>
    </row>
    <row r="30" customFormat="false" ht="15" hidden="false" customHeight="false" outlineLevel="0" collapsed="false">
      <c r="A30" s="13" t="n">
        <v>29</v>
      </c>
      <c r="B30" s="13" t="n">
        <f aca="false">SUMPRODUCT(--((ISNUMBER(SEARCH(","&amp;A30&amp;",",Reservas!$G$2:$G$501)))+(ISNUMBER(SEARCH(","&amp;TEXT(A30,"00")&amp;",",Reservas!$G$2:$G$501)))+(ISNUMBER(SEARCH(","&amp;TEXT(A30,"000")&amp;",",Reservas!$G$2:$G$501)))&gt;0))</f>
        <v>0</v>
      </c>
      <c r="C30" s="27" t="str">
        <f aca="false">IF(B30&gt;1,"⚠ Número anotado en más de una reserva","")</f>
        <v/>
      </c>
    </row>
    <row r="31" customFormat="false" ht="15" hidden="false" customHeight="false" outlineLevel="0" collapsed="false">
      <c r="A31" s="13" t="n">
        <v>30</v>
      </c>
      <c r="B31" s="13" t="n">
        <f aca="false">SUMPRODUCT(--((ISNUMBER(SEARCH(","&amp;A31&amp;",",Reservas!$G$2:$G$501)))+(ISNUMBER(SEARCH(","&amp;TEXT(A31,"00")&amp;",",Reservas!$G$2:$G$501)))+(ISNUMBER(SEARCH(","&amp;TEXT(A31,"000")&amp;",",Reservas!$G$2:$G$501)))&gt;0))</f>
        <v>1</v>
      </c>
      <c r="C31" s="27" t="str">
        <f aca="false">IF(B31&gt;1,"⚠ Número anotado en más de una reserva","")</f>
        <v/>
      </c>
    </row>
    <row r="32" customFormat="false" ht="15" hidden="false" customHeight="false" outlineLevel="0" collapsed="false">
      <c r="A32" s="13" t="n">
        <v>31</v>
      </c>
      <c r="B32" s="13" t="n">
        <f aca="false">SUMPRODUCT(--((ISNUMBER(SEARCH(","&amp;A32&amp;",",Reservas!$G$2:$G$501)))+(ISNUMBER(SEARCH(","&amp;TEXT(A32,"00")&amp;",",Reservas!$G$2:$G$501)))+(ISNUMBER(SEARCH(","&amp;TEXT(A32,"000")&amp;",",Reservas!$G$2:$G$501)))&gt;0))</f>
        <v>0</v>
      </c>
      <c r="C32" s="27" t="str">
        <f aca="false">IF(B32&gt;1,"⚠ Número anotado en más de una reserva","")</f>
        <v/>
      </c>
    </row>
    <row r="33" customFormat="false" ht="15" hidden="false" customHeight="false" outlineLevel="0" collapsed="false">
      <c r="A33" s="13" t="n">
        <v>32</v>
      </c>
      <c r="B33" s="13" t="n">
        <f aca="false">SUMPRODUCT(--((ISNUMBER(SEARCH(","&amp;A33&amp;",",Reservas!$G$2:$G$501)))+(ISNUMBER(SEARCH(","&amp;TEXT(A33,"00")&amp;",",Reservas!$G$2:$G$501)))+(ISNUMBER(SEARCH(","&amp;TEXT(A33,"000")&amp;",",Reservas!$G$2:$G$501)))&gt;0))</f>
        <v>0</v>
      </c>
      <c r="C33" s="27" t="str">
        <f aca="false">IF(B33&gt;1,"⚠ Número anotado en más de una reserva","")</f>
        <v/>
      </c>
    </row>
    <row r="34" customFormat="false" ht="15" hidden="false" customHeight="false" outlineLevel="0" collapsed="false">
      <c r="A34" s="13" t="n">
        <v>33</v>
      </c>
      <c r="B34" s="13" t="n">
        <f aca="false">SUMPRODUCT(--((ISNUMBER(SEARCH(","&amp;A34&amp;",",Reservas!$G$2:$G$501)))+(ISNUMBER(SEARCH(","&amp;TEXT(A34,"00")&amp;",",Reservas!$G$2:$G$501)))+(ISNUMBER(SEARCH(","&amp;TEXT(A34,"000")&amp;",",Reservas!$G$2:$G$501)))&gt;0))</f>
        <v>1</v>
      </c>
      <c r="C34" s="27" t="str">
        <f aca="false">IF(B34&gt;1,"⚠ Número anotado en más de una reserva","")</f>
        <v/>
      </c>
    </row>
    <row r="35" customFormat="false" ht="15" hidden="false" customHeight="false" outlineLevel="0" collapsed="false">
      <c r="A35" s="13" t="n">
        <v>34</v>
      </c>
      <c r="B35" s="13" t="n">
        <f aca="false">SUMPRODUCT(--((ISNUMBER(SEARCH(","&amp;A35&amp;",",Reservas!$G$2:$G$501)))+(ISNUMBER(SEARCH(","&amp;TEXT(A35,"00")&amp;",",Reservas!$G$2:$G$501)))+(ISNUMBER(SEARCH(","&amp;TEXT(A35,"000")&amp;",",Reservas!$G$2:$G$501)))&gt;0))</f>
        <v>0</v>
      </c>
      <c r="C35" s="27" t="str">
        <f aca="false">IF(B35&gt;1,"⚠ Número anotado en más de una reserva","")</f>
        <v/>
      </c>
    </row>
    <row r="36" customFormat="false" ht="15" hidden="false" customHeight="false" outlineLevel="0" collapsed="false">
      <c r="A36" s="13" t="n">
        <v>35</v>
      </c>
      <c r="B36" s="13" t="n">
        <f aca="false">SUMPRODUCT(--((ISNUMBER(SEARCH(","&amp;A36&amp;",",Reservas!$G$2:$G$501)))+(ISNUMBER(SEARCH(","&amp;TEXT(A36,"00")&amp;",",Reservas!$G$2:$G$501)))+(ISNUMBER(SEARCH(","&amp;TEXT(A36,"000")&amp;",",Reservas!$G$2:$G$501)))&gt;0))</f>
        <v>0</v>
      </c>
      <c r="C36" s="27" t="str">
        <f aca="false">IF(B36&gt;1,"⚠ Número anotado en más de una reserva","")</f>
        <v/>
      </c>
    </row>
    <row r="37" customFormat="false" ht="15" hidden="false" customHeight="false" outlineLevel="0" collapsed="false">
      <c r="A37" s="13" t="n">
        <v>36</v>
      </c>
      <c r="B37" s="13" t="n">
        <f aca="false">SUMPRODUCT(--((ISNUMBER(SEARCH(","&amp;A37&amp;",",Reservas!$G$2:$G$501)))+(ISNUMBER(SEARCH(","&amp;TEXT(A37,"00")&amp;",",Reservas!$G$2:$G$501)))+(ISNUMBER(SEARCH(","&amp;TEXT(A37,"000")&amp;",",Reservas!$G$2:$G$501)))&gt;0))</f>
        <v>0</v>
      </c>
      <c r="C37" s="27" t="str">
        <f aca="false">IF(B37&gt;1,"⚠ Número anotado en más de una reserva","")</f>
        <v/>
      </c>
    </row>
    <row r="38" customFormat="false" ht="15" hidden="false" customHeight="false" outlineLevel="0" collapsed="false">
      <c r="A38" s="13" t="n">
        <v>37</v>
      </c>
      <c r="B38" s="13" t="n">
        <f aca="false">SUMPRODUCT(--((ISNUMBER(SEARCH(","&amp;A38&amp;",",Reservas!$G$2:$G$501)))+(ISNUMBER(SEARCH(","&amp;TEXT(A38,"00")&amp;",",Reservas!$G$2:$G$501)))+(ISNUMBER(SEARCH(","&amp;TEXT(A38,"000")&amp;",",Reservas!$G$2:$G$501)))&gt;0))</f>
        <v>0</v>
      </c>
      <c r="C38" s="27" t="str">
        <f aca="false">IF(B38&gt;1,"⚠ Número anotado en más de una reserva","")</f>
        <v/>
      </c>
    </row>
    <row r="39" customFormat="false" ht="15" hidden="false" customHeight="false" outlineLevel="0" collapsed="false">
      <c r="A39" s="13" t="n">
        <v>38</v>
      </c>
      <c r="B39" s="13" t="n">
        <f aca="false">SUMPRODUCT(--((ISNUMBER(SEARCH(","&amp;A39&amp;",",Reservas!$G$2:$G$501)))+(ISNUMBER(SEARCH(","&amp;TEXT(A39,"00")&amp;",",Reservas!$G$2:$G$501)))+(ISNUMBER(SEARCH(","&amp;TEXT(A39,"000")&amp;",",Reservas!$G$2:$G$501)))&gt;0))</f>
        <v>0</v>
      </c>
      <c r="C39" s="27" t="str">
        <f aca="false">IF(B39&gt;1,"⚠ Número anotado en más de una reserva","")</f>
        <v/>
      </c>
    </row>
    <row r="40" customFormat="false" ht="15" hidden="false" customHeight="false" outlineLevel="0" collapsed="false">
      <c r="A40" s="13" t="n">
        <v>39</v>
      </c>
      <c r="B40" s="13" t="n">
        <f aca="false">SUMPRODUCT(--((ISNUMBER(SEARCH(","&amp;A40&amp;",",Reservas!$G$2:$G$501)))+(ISNUMBER(SEARCH(","&amp;TEXT(A40,"00")&amp;",",Reservas!$G$2:$G$501)))+(ISNUMBER(SEARCH(","&amp;TEXT(A40,"000")&amp;",",Reservas!$G$2:$G$501)))&gt;0))</f>
        <v>0</v>
      </c>
      <c r="C40" s="27" t="str">
        <f aca="false">IF(B40&gt;1,"⚠ Número anotado en más de una reserva","")</f>
        <v/>
      </c>
    </row>
    <row r="41" customFormat="false" ht="15" hidden="false" customHeight="false" outlineLevel="0" collapsed="false">
      <c r="A41" s="13" t="n">
        <v>40</v>
      </c>
      <c r="B41" s="13" t="n">
        <f aca="false">SUMPRODUCT(--((ISNUMBER(SEARCH(","&amp;A41&amp;",",Reservas!$G$2:$G$501)))+(ISNUMBER(SEARCH(","&amp;TEXT(A41,"00")&amp;",",Reservas!$G$2:$G$501)))+(ISNUMBER(SEARCH(","&amp;TEXT(A41,"000")&amp;",",Reservas!$G$2:$G$501)))&gt;0))</f>
        <v>0</v>
      </c>
      <c r="C41" s="27" t="str">
        <f aca="false">IF(B41&gt;1,"⚠ Número anotado en más de una reserva","")</f>
        <v/>
      </c>
    </row>
    <row r="42" customFormat="false" ht="15" hidden="false" customHeight="false" outlineLevel="0" collapsed="false">
      <c r="A42" s="13" t="n">
        <v>41</v>
      </c>
      <c r="B42" s="13" t="n">
        <f aca="false">SUMPRODUCT(--((ISNUMBER(SEARCH(","&amp;A42&amp;",",Reservas!$G$2:$G$501)))+(ISNUMBER(SEARCH(","&amp;TEXT(A42,"00")&amp;",",Reservas!$G$2:$G$501)))+(ISNUMBER(SEARCH(","&amp;TEXT(A42,"000")&amp;",",Reservas!$G$2:$G$501)))&gt;0))</f>
        <v>0</v>
      </c>
      <c r="C42" s="27" t="str">
        <f aca="false">IF(B42&gt;1,"⚠ Número anotado en más de una reserva","")</f>
        <v/>
      </c>
    </row>
    <row r="43" customFormat="false" ht="15" hidden="false" customHeight="false" outlineLevel="0" collapsed="false">
      <c r="A43" s="13" t="n">
        <v>42</v>
      </c>
      <c r="B43" s="13" t="n">
        <f aca="false">SUMPRODUCT(--((ISNUMBER(SEARCH(","&amp;A43&amp;",",Reservas!$G$2:$G$501)))+(ISNUMBER(SEARCH(","&amp;TEXT(A43,"00")&amp;",",Reservas!$G$2:$G$501)))+(ISNUMBER(SEARCH(","&amp;TEXT(A43,"000")&amp;",",Reservas!$G$2:$G$501)))&gt;0))</f>
        <v>0</v>
      </c>
      <c r="C43" s="27" t="str">
        <f aca="false">IF(B43&gt;1,"⚠ Número anotado en más de una reserva","")</f>
        <v/>
      </c>
    </row>
    <row r="44" customFormat="false" ht="15" hidden="false" customHeight="false" outlineLevel="0" collapsed="false">
      <c r="A44" s="13" t="n">
        <v>43</v>
      </c>
      <c r="B44" s="13" t="n">
        <f aca="false">SUMPRODUCT(--((ISNUMBER(SEARCH(","&amp;A44&amp;",",Reservas!$G$2:$G$501)))+(ISNUMBER(SEARCH(","&amp;TEXT(A44,"00")&amp;",",Reservas!$G$2:$G$501)))+(ISNUMBER(SEARCH(","&amp;TEXT(A44,"000")&amp;",",Reservas!$G$2:$G$501)))&gt;0))</f>
        <v>0</v>
      </c>
      <c r="C44" s="27" t="str">
        <f aca="false">IF(B44&gt;1,"⚠ Número anotado en más de una reserva","")</f>
        <v/>
      </c>
    </row>
    <row r="45" customFormat="false" ht="15" hidden="false" customHeight="false" outlineLevel="0" collapsed="false">
      <c r="A45" s="13" t="n">
        <v>44</v>
      </c>
      <c r="B45" s="13" t="n">
        <f aca="false">SUMPRODUCT(--((ISNUMBER(SEARCH(","&amp;A45&amp;",",Reservas!$G$2:$G$501)))+(ISNUMBER(SEARCH(","&amp;TEXT(A45,"00")&amp;",",Reservas!$G$2:$G$501)))+(ISNUMBER(SEARCH(","&amp;TEXT(A45,"000")&amp;",",Reservas!$G$2:$G$501)))&gt;0))</f>
        <v>0</v>
      </c>
      <c r="C45" s="27" t="str">
        <f aca="false">IF(B45&gt;1,"⚠ Número anotado en más de una reserva","")</f>
        <v/>
      </c>
    </row>
    <row r="46" customFormat="false" ht="15" hidden="false" customHeight="false" outlineLevel="0" collapsed="false">
      <c r="A46" s="13" t="n">
        <v>45</v>
      </c>
      <c r="B46" s="13" t="n">
        <f aca="false">SUMPRODUCT(--((ISNUMBER(SEARCH(","&amp;A46&amp;",",Reservas!$G$2:$G$501)))+(ISNUMBER(SEARCH(","&amp;TEXT(A46,"00")&amp;",",Reservas!$G$2:$G$501)))+(ISNUMBER(SEARCH(","&amp;TEXT(A46,"000")&amp;",",Reservas!$G$2:$G$501)))&gt;0))</f>
        <v>0</v>
      </c>
      <c r="C46" s="27" t="str">
        <f aca="false">IF(B46&gt;1,"⚠ Número anotado en más de una reserva","")</f>
        <v/>
      </c>
    </row>
    <row r="47" customFormat="false" ht="15" hidden="false" customHeight="false" outlineLevel="0" collapsed="false">
      <c r="A47" s="13" t="n">
        <v>46</v>
      </c>
      <c r="B47" s="13" t="n">
        <f aca="false">SUMPRODUCT(--((ISNUMBER(SEARCH(","&amp;A47&amp;",",Reservas!$G$2:$G$501)))+(ISNUMBER(SEARCH(","&amp;TEXT(A47,"00")&amp;",",Reservas!$G$2:$G$501)))+(ISNUMBER(SEARCH(","&amp;TEXT(A47,"000")&amp;",",Reservas!$G$2:$G$501)))&gt;0))</f>
        <v>0</v>
      </c>
      <c r="C47" s="27" t="str">
        <f aca="false">IF(B47&gt;1,"⚠ Número anotado en más de una reserva","")</f>
        <v/>
      </c>
    </row>
    <row r="48" customFormat="false" ht="15" hidden="false" customHeight="false" outlineLevel="0" collapsed="false">
      <c r="A48" s="13" t="n">
        <v>47</v>
      </c>
      <c r="B48" s="13" t="n">
        <f aca="false">SUMPRODUCT(--((ISNUMBER(SEARCH(","&amp;A48&amp;",",Reservas!$G$2:$G$501)))+(ISNUMBER(SEARCH(","&amp;TEXT(A48,"00")&amp;",",Reservas!$G$2:$G$501)))+(ISNUMBER(SEARCH(","&amp;TEXT(A48,"000")&amp;",",Reservas!$G$2:$G$501)))&gt;0))</f>
        <v>0</v>
      </c>
      <c r="C48" s="27" t="str">
        <f aca="false">IF(B48&gt;1,"⚠ Número anotado en más de una reserva","")</f>
        <v/>
      </c>
    </row>
    <row r="49" customFormat="false" ht="15" hidden="false" customHeight="false" outlineLevel="0" collapsed="false">
      <c r="A49" s="13" t="n">
        <v>48</v>
      </c>
      <c r="B49" s="13" t="n">
        <f aca="false">SUMPRODUCT(--((ISNUMBER(SEARCH(","&amp;A49&amp;",",Reservas!$G$2:$G$501)))+(ISNUMBER(SEARCH(","&amp;TEXT(A49,"00")&amp;",",Reservas!$G$2:$G$501)))+(ISNUMBER(SEARCH(","&amp;TEXT(A49,"000")&amp;",",Reservas!$G$2:$G$501)))&gt;0))</f>
        <v>1</v>
      </c>
      <c r="C49" s="27" t="str">
        <f aca="false">IF(B49&gt;1,"⚠ Número anotado en más de una reserva","")</f>
        <v/>
      </c>
    </row>
    <row r="50" customFormat="false" ht="15" hidden="false" customHeight="false" outlineLevel="0" collapsed="false">
      <c r="A50" s="13" t="n">
        <v>49</v>
      </c>
      <c r="B50" s="13" t="n">
        <f aca="false">SUMPRODUCT(--((ISNUMBER(SEARCH(","&amp;A50&amp;",",Reservas!$G$2:$G$501)))+(ISNUMBER(SEARCH(","&amp;TEXT(A50,"00")&amp;",",Reservas!$G$2:$G$501)))+(ISNUMBER(SEARCH(","&amp;TEXT(A50,"000")&amp;",",Reservas!$G$2:$G$501)))&gt;0))</f>
        <v>1</v>
      </c>
      <c r="C50" s="27" t="str">
        <f aca="false">IF(B50&gt;1,"⚠ Número anotado en más de una reserva","")</f>
        <v/>
      </c>
    </row>
    <row r="51" customFormat="false" ht="15" hidden="false" customHeight="false" outlineLevel="0" collapsed="false">
      <c r="A51" s="13" t="n">
        <v>50</v>
      </c>
      <c r="B51" s="13" t="n">
        <f aca="false">SUMPRODUCT(--((ISNUMBER(SEARCH(","&amp;A51&amp;",",Reservas!$G$2:$G$501)))+(ISNUMBER(SEARCH(","&amp;TEXT(A51,"00")&amp;",",Reservas!$G$2:$G$501)))+(ISNUMBER(SEARCH(","&amp;TEXT(A51,"000")&amp;",",Reservas!$G$2:$G$501)))&gt;0))</f>
        <v>0</v>
      </c>
      <c r="C51" s="27" t="str">
        <f aca="false">IF(B51&gt;1,"⚠ Número anotado en más de una reserva","")</f>
        <v/>
      </c>
    </row>
    <row r="52" customFormat="false" ht="15" hidden="false" customHeight="false" outlineLevel="0" collapsed="false">
      <c r="A52" s="13" t="n">
        <v>51</v>
      </c>
      <c r="B52" s="13" t="n">
        <f aca="false">SUMPRODUCT(--((ISNUMBER(SEARCH(","&amp;A52&amp;",",Reservas!$G$2:$G$501)))+(ISNUMBER(SEARCH(","&amp;TEXT(A52,"00")&amp;",",Reservas!$G$2:$G$501)))+(ISNUMBER(SEARCH(","&amp;TEXT(A52,"000")&amp;",",Reservas!$G$2:$G$501)))&gt;0))</f>
        <v>0</v>
      </c>
      <c r="C52" s="27" t="str">
        <f aca="false">IF(B52&gt;1,"⚠ Número anotado en más de una reserva","")</f>
        <v/>
      </c>
    </row>
    <row r="53" customFormat="false" ht="15" hidden="false" customHeight="false" outlineLevel="0" collapsed="false">
      <c r="A53" s="13" t="n">
        <v>52</v>
      </c>
      <c r="B53" s="13" t="n">
        <f aca="false">SUMPRODUCT(--((ISNUMBER(SEARCH(","&amp;A53&amp;",",Reservas!$G$2:$G$501)))+(ISNUMBER(SEARCH(","&amp;TEXT(A53,"00")&amp;",",Reservas!$G$2:$G$501)))+(ISNUMBER(SEARCH(","&amp;TEXT(A53,"000")&amp;",",Reservas!$G$2:$G$501)))&gt;0))</f>
        <v>0</v>
      </c>
      <c r="C53" s="27" t="str">
        <f aca="false">IF(B53&gt;1,"⚠ Número anotado en más de una reserva","")</f>
        <v/>
      </c>
    </row>
    <row r="54" customFormat="false" ht="15" hidden="false" customHeight="false" outlineLevel="0" collapsed="false">
      <c r="A54" s="13" t="n">
        <v>53</v>
      </c>
      <c r="B54" s="13" t="n">
        <f aca="false">SUMPRODUCT(--((ISNUMBER(SEARCH(","&amp;A54&amp;",",Reservas!$G$2:$G$501)))+(ISNUMBER(SEARCH(","&amp;TEXT(A54,"00")&amp;",",Reservas!$G$2:$G$501)))+(ISNUMBER(SEARCH(","&amp;TEXT(A54,"000")&amp;",",Reservas!$G$2:$G$501)))&gt;0))</f>
        <v>0</v>
      </c>
      <c r="C54" s="27" t="str">
        <f aca="false">IF(B54&gt;1,"⚠ Número anotado en más de una reserva","")</f>
        <v/>
      </c>
    </row>
    <row r="55" customFormat="false" ht="15" hidden="false" customHeight="false" outlineLevel="0" collapsed="false">
      <c r="A55" s="13" t="n">
        <v>54</v>
      </c>
      <c r="B55" s="13" t="n">
        <f aca="false">SUMPRODUCT(--((ISNUMBER(SEARCH(","&amp;A55&amp;",",Reservas!$G$2:$G$501)))+(ISNUMBER(SEARCH(","&amp;TEXT(A55,"00")&amp;",",Reservas!$G$2:$G$501)))+(ISNUMBER(SEARCH(","&amp;TEXT(A55,"000")&amp;",",Reservas!$G$2:$G$501)))&gt;0))</f>
        <v>0</v>
      </c>
      <c r="C55" s="27" t="str">
        <f aca="false">IF(B55&gt;1,"⚠ Número anotado en más de una reserva","")</f>
        <v/>
      </c>
    </row>
    <row r="56" customFormat="false" ht="15" hidden="false" customHeight="false" outlineLevel="0" collapsed="false">
      <c r="A56" s="13" t="n">
        <v>55</v>
      </c>
      <c r="B56" s="13" t="n">
        <f aca="false">SUMPRODUCT(--((ISNUMBER(SEARCH(","&amp;A56&amp;",",Reservas!$G$2:$G$501)))+(ISNUMBER(SEARCH(","&amp;TEXT(A56,"00")&amp;",",Reservas!$G$2:$G$501)))+(ISNUMBER(SEARCH(","&amp;TEXT(A56,"000")&amp;",",Reservas!$G$2:$G$501)))&gt;0))</f>
        <v>0</v>
      </c>
      <c r="C56" s="27" t="str">
        <f aca="false">IF(B56&gt;1,"⚠ Número anotado en más de una reserva","")</f>
        <v/>
      </c>
    </row>
    <row r="57" customFormat="false" ht="15" hidden="false" customHeight="false" outlineLevel="0" collapsed="false">
      <c r="A57" s="13" t="n">
        <v>56</v>
      </c>
      <c r="B57" s="13" t="n">
        <f aca="false">SUMPRODUCT(--((ISNUMBER(SEARCH(","&amp;A57&amp;",",Reservas!$G$2:$G$501)))+(ISNUMBER(SEARCH(","&amp;TEXT(A57,"00")&amp;",",Reservas!$G$2:$G$501)))+(ISNUMBER(SEARCH(","&amp;TEXT(A57,"000")&amp;",",Reservas!$G$2:$G$501)))&gt;0))</f>
        <v>0</v>
      </c>
      <c r="C57" s="27" t="str">
        <f aca="false">IF(B57&gt;1,"⚠ Número anotado en más de una reserva","")</f>
        <v/>
      </c>
    </row>
    <row r="58" customFormat="false" ht="15" hidden="false" customHeight="false" outlineLevel="0" collapsed="false">
      <c r="A58" s="13" t="n">
        <v>57</v>
      </c>
      <c r="B58" s="13" t="n">
        <f aca="false">SUMPRODUCT(--((ISNUMBER(SEARCH(","&amp;A58&amp;",",Reservas!$G$2:$G$501)))+(ISNUMBER(SEARCH(","&amp;TEXT(A58,"00")&amp;",",Reservas!$G$2:$G$501)))+(ISNUMBER(SEARCH(","&amp;TEXT(A58,"000")&amp;",",Reservas!$G$2:$G$501)))&gt;0))</f>
        <v>0</v>
      </c>
      <c r="C58" s="27" t="str">
        <f aca="false">IF(B58&gt;1,"⚠ Número anotado en más de una reserva","")</f>
        <v/>
      </c>
    </row>
    <row r="59" customFormat="false" ht="15" hidden="false" customHeight="false" outlineLevel="0" collapsed="false">
      <c r="A59" s="13" t="n">
        <v>58</v>
      </c>
      <c r="B59" s="13" t="n">
        <f aca="false">SUMPRODUCT(--((ISNUMBER(SEARCH(","&amp;A59&amp;",",Reservas!$G$2:$G$501)))+(ISNUMBER(SEARCH(","&amp;TEXT(A59,"00")&amp;",",Reservas!$G$2:$G$501)))+(ISNUMBER(SEARCH(","&amp;TEXT(A59,"000")&amp;",",Reservas!$G$2:$G$501)))&gt;0))</f>
        <v>0</v>
      </c>
      <c r="C59" s="27" t="str">
        <f aca="false">IF(B59&gt;1,"⚠ Número anotado en más de una reserva","")</f>
        <v/>
      </c>
    </row>
    <row r="60" customFormat="false" ht="15" hidden="false" customHeight="false" outlineLevel="0" collapsed="false">
      <c r="A60" s="13" t="n">
        <v>59</v>
      </c>
      <c r="B60" s="13" t="n">
        <f aca="false">SUMPRODUCT(--((ISNUMBER(SEARCH(","&amp;A60&amp;",",Reservas!$G$2:$G$501)))+(ISNUMBER(SEARCH(","&amp;TEXT(A60,"00")&amp;",",Reservas!$G$2:$G$501)))+(ISNUMBER(SEARCH(","&amp;TEXT(A60,"000")&amp;",",Reservas!$G$2:$G$501)))&gt;0))</f>
        <v>0</v>
      </c>
      <c r="C60" s="27" t="str">
        <f aca="false">IF(B60&gt;1,"⚠ Número anotado en más de una reserva","")</f>
        <v/>
      </c>
    </row>
    <row r="61" customFormat="false" ht="15" hidden="false" customHeight="false" outlineLevel="0" collapsed="false">
      <c r="A61" s="13" t="n">
        <v>60</v>
      </c>
      <c r="B61" s="13" t="n">
        <f aca="false">SUMPRODUCT(--((ISNUMBER(SEARCH(","&amp;A61&amp;",",Reservas!$G$2:$G$501)))+(ISNUMBER(SEARCH(","&amp;TEXT(A61,"00")&amp;",",Reservas!$G$2:$G$501)))+(ISNUMBER(SEARCH(","&amp;TEXT(A61,"000")&amp;",",Reservas!$G$2:$G$501)))&gt;0))</f>
        <v>0</v>
      </c>
      <c r="C61" s="27" t="str">
        <f aca="false">IF(B61&gt;1,"⚠ Número anotado en más de una reserva","")</f>
        <v/>
      </c>
    </row>
    <row r="62" customFormat="false" ht="15" hidden="false" customHeight="false" outlineLevel="0" collapsed="false">
      <c r="A62" s="13" t="n">
        <v>61</v>
      </c>
      <c r="B62" s="13" t="n">
        <f aca="false">SUMPRODUCT(--((ISNUMBER(SEARCH(","&amp;A62&amp;",",Reservas!$G$2:$G$501)))+(ISNUMBER(SEARCH(","&amp;TEXT(A62,"00")&amp;",",Reservas!$G$2:$G$501)))+(ISNUMBER(SEARCH(","&amp;TEXT(A62,"000")&amp;",",Reservas!$G$2:$G$501)))&gt;0))</f>
        <v>0</v>
      </c>
      <c r="C62" s="27" t="str">
        <f aca="false">IF(B62&gt;1,"⚠ Número anotado en más de una reserva","")</f>
        <v/>
      </c>
    </row>
    <row r="63" customFormat="false" ht="15" hidden="false" customHeight="false" outlineLevel="0" collapsed="false">
      <c r="A63" s="13" t="n">
        <v>62</v>
      </c>
      <c r="B63" s="13" t="n">
        <f aca="false">SUMPRODUCT(--((ISNUMBER(SEARCH(","&amp;A63&amp;",",Reservas!$G$2:$G$501)))+(ISNUMBER(SEARCH(","&amp;TEXT(A63,"00")&amp;",",Reservas!$G$2:$G$501)))+(ISNUMBER(SEARCH(","&amp;TEXT(A63,"000")&amp;",",Reservas!$G$2:$G$501)))&gt;0))</f>
        <v>0</v>
      </c>
      <c r="C63" s="27" t="str">
        <f aca="false">IF(B63&gt;1,"⚠ Número anotado en más de una reserva","")</f>
        <v/>
      </c>
    </row>
    <row r="64" customFormat="false" ht="15" hidden="false" customHeight="false" outlineLevel="0" collapsed="false">
      <c r="A64" s="13" t="n">
        <v>63</v>
      </c>
      <c r="B64" s="13" t="n">
        <f aca="false">SUMPRODUCT(--((ISNUMBER(SEARCH(","&amp;A64&amp;",",Reservas!$G$2:$G$501)))+(ISNUMBER(SEARCH(","&amp;TEXT(A64,"00")&amp;",",Reservas!$G$2:$G$501)))+(ISNUMBER(SEARCH(","&amp;TEXT(A64,"000")&amp;",",Reservas!$G$2:$G$501)))&gt;0))</f>
        <v>0</v>
      </c>
      <c r="C64" s="27" t="str">
        <f aca="false">IF(B64&gt;1,"⚠ Número anotado en más de una reserva","")</f>
        <v/>
      </c>
    </row>
    <row r="65" customFormat="false" ht="15" hidden="false" customHeight="false" outlineLevel="0" collapsed="false">
      <c r="A65" s="13" t="n">
        <v>64</v>
      </c>
      <c r="B65" s="13" t="n">
        <f aca="false">SUMPRODUCT(--((ISNUMBER(SEARCH(","&amp;A65&amp;",",Reservas!$G$2:$G$501)))+(ISNUMBER(SEARCH(","&amp;TEXT(A65,"00")&amp;",",Reservas!$G$2:$G$501)))+(ISNUMBER(SEARCH(","&amp;TEXT(A65,"000")&amp;",",Reservas!$G$2:$G$501)))&gt;0))</f>
        <v>0</v>
      </c>
      <c r="C65" s="27" t="str">
        <f aca="false">IF(B65&gt;1,"⚠ Número anotado en más de una reserva","")</f>
        <v/>
      </c>
    </row>
    <row r="66" customFormat="false" ht="15" hidden="false" customHeight="false" outlineLevel="0" collapsed="false">
      <c r="A66" s="13" t="n">
        <v>65</v>
      </c>
      <c r="B66" s="13" t="n">
        <f aca="false">SUMPRODUCT(--((ISNUMBER(SEARCH(","&amp;A66&amp;",",Reservas!$G$2:$G$501)))+(ISNUMBER(SEARCH(","&amp;TEXT(A66,"00")&amp;",",Reservas!$G$2:$G$501)))+(ISNUMBER(SEARCH(","&amp;TEXT(A66,"000")&amp;",",Reservas!$G$2:$G$501)))&gt;0))</f>
        <v>0</v>
      </c>
      <c r="C66" s="27" t="str">
        <f aca="false">IF(B66&gt;1,"⚠ Número anotado en más de una reserva","")</f>
        <v/>
      </c>
    </row>
    <row r="67" customFormat="false" ht="15" hidden="false" customHeight="false" outlineLevel="0" collapsed="false">
      <c r="A67" s="13" t="n">
        <v>66</v>
      </c>
      <c r="B67" s="13" t="n">
        <f aca="false">SUMPRODUCT(--((ISNUMBER(SEARCH(","&amp;A67&amp;",",Reservas!$G$2:$G$501)))+(ISNUMBER(SEARCH(","&amp;TEXT(A67,"00")&amp;",",Reservas!$G$2:$G$501)))+(ISNUMBER(SEARCH(","&amp;TEXT(A67,"000")&amp;",",Reservas!$G$2:$G$501)))&gt;0))</f>
        <v>0</v>
      </c>
      <c r="C67" s="27" t="str">
        <f aca="false">IF(B67&gt;1,"⚠ Número anotado en más de una reserva","")</f>
        <v/>
      </c>
    </row>
    <row r="68" customFormat="false" ht="15" hidden="false" customHeight="false" outlineLevel="0" collapsed="false">
      <c r="A68" s="13" t="n">
        <v>67</v>
      </c>
      <c r="B68" s="13" t="n">
        <f aca="false">SUMPRODUCT(--((ISNUMBER(SEARCH(","&amp;A68&amp;",",Reservas!$G$2:$G$501)))+(ISNUMBER(SEARCH(","&amp;TEXT(A68,"00")&amp;",",Reservas!$G$2:$G$501)))+(ISNUMBER(SEARCH(","&amp;TEXT(A68,"000")&amp;",",Reservas!$G$2:$G$501)))&gt;0))</f>
        <v>0</v>
      </c>
      <c r="C68" s="27" t="str">
        <f aca="false">IF(B68&gt;1,"⚠ Número anotado en más de una reserva","")</f>
        <v/>
      </c>
    </row>
    <row r="69" customFormat="false" ht="15" hidden="false" customHeight="false" outlineLevel="0" collapsed="false">
      <c r="A69" s="13" t="n">
        <v>68</v>
      </c>
      <c r="B69" s="13" t="n">
        <f aca="false">SUMPRODUCT(--((ISNUMBER(SEARCH(","&amp;A69&amp;",",Reservas!$G$2:$G$501)))+(ISNUMBER(SEARCH(","&amp;TEXT(A69,"00")&amp;",",Reservas!$G$2:$G$501)))+(ISNUMBER(SEARCH(","&amp;TEXT(A69,"000")&amp;",",Reservas!$G$2:$G$501)))&gt;0))</f>
        <v>1</v>
      </c>
      <c r="C69" s="27" t="str">
        <f aca="false">IF(B69&gt;1,"⚠ Número anotado en más de una reserva","")</f>
        <v/>
      </c>
    </row>
    <row r="70" customFormat="false" ht="15" hidden="false" customHeight="false" outlineLevel="0" collapsed="false">
      <c r="A70" s="13" t="n">
        <v>69</v>
      </c>
      <c r="B70" s="13" t="n">
        <f aca="false">SUMPRODUCT(--((ISNUMBER(SEARCH(","&amp;A70&amp;",",Reservas!$G$2:$G$501)))+(ISNUMBER(SEARCH(","&amp;TEXT(A70,"00")&amp;",",Reservas!$G$2:$G$501)))+(ISNUMBER(SEARCH(","&amp;TEXT(A70,"000")&amp;",",Reservas!$G$2:$G$501)))&gt;0))</f>
        <v>0</v>
      </c>
      <c r="C70" s="27" t="str">
        <f aca="false">IF(B70&gt;1,"⚠ Número anotado en más de una reserva","")</f>
        <v/>
      </c>
    </row>
    <row r="71" customFormat="false" ht="15" hidden="false" customHeight="false" outlineLevel="0" collapsed="false">
      <c r="A71" s="13" t="n">
        <v>70</v>
      </c>
      <c r="B71" s="13" t="n">
        <f aca="false">SUMPRODUCT(--((ISNUMBER(SEARCH(","&amp;A71&amp;",",Reservas!$G$2:$G$501)))+(ISNUMBER(SEARCH(","&amp;TEXT(A71,"00")&amp;",",Reservas!$G$2:$G$501)))+(ISNUMBER(SEARCH(","&amp;TEXT(A71,"000")&amp;",",Reservas!$G$2:$G$501)))&gt;0))</f>
        <v>0</v>
      </c>
      <c r="C71" s="27" t="str">
        <f aca="false">IF(B71&gt;1,"⚠ Número anotado en más de una reserva","")</f>
        <v/>
      </c>
    </row>
    <row r="72" customFormat="false" ht="15" hidden="false" customHeight="false" outlineLevel="0" collapsed="false">
      <c r="A72" s="13" t="n">
        <v>71</v>
      </c>
      <c r="B72" s="13" t="n">
        <f aca="false">SUMPRODUCT(--((ISNUMBER(SEARCH(","&amp;A72&amp;",",Reservas!$G$2:$G$501)))+(ISNUMBER(SEARCH(","&amp;TEXT(A72,"00")&amp;",",Reservas!$G$2:$G$501)))+(ISNUMBER(SEARCH(","&amp;TEXT(A72,"000")&amp;",",Reservas!$G$2:$G$501)))&gt;0))</f>
        <v>0</v>
      </c>
      <c r="C72" s="27" t="str">
        <f aca="false">IF(B72&gt;1,"⚠ Número anotado en más de una reserva","")</f>
        <v/>
      </c>
    </row>
    <row r="73" customFormat="false" ht="15" hidden="false" customHeight="false" outlineLevel="0" collapsed="false">
      <c r="A73" s="13" t="n">
        <v>72</v>
      </c>
      <c r="B73" s="13" t="n">
        <f aca="false">SUMPRODUCT(--((ISNUMBER(SEARCH(","&amp;A73&amp;",",Reservas!$G$2:$G$501)))+(ISNUMBER(SEARCH(","&amp;TEXT(A73,"00")&amp;",",Reservas!$G$2:$G$501)))+(ISNUMBER(SEARCH(","&amp;TEXT(A73,"000")&amp;",",Reservas!$G$2:$G$501)))&gt;0))</f>
        <v>0</v>
      </c>
      <c r="C73" s="27" t="str">
        <f aca="false">IF(B73&gt;1,"⚠ Número anotado en más de una reserva","")</f>
        <v/>
      </c>
    </row>
    <row r="74" customFormat="false" ht="15" hidden="false" customHeight="false" outlineLevel="0" collapsed="false">
      <c r="A74" s="13" t="n">
        <v>73</v>
      </c>
      <c r="B74" s="13" t="n">
        <f aca="false">SUMPRODUCT(--((ISNUMBER(SEARCH(","&amp;A74&amp;",",Reservas!$G$2:$G$501)))+(ISNUMBER(SEARCH(","&amp;TEXT(A74,"00")&amp;",",Reservas!$G$2:$G$501)))+(ISNUMBER(SEARCH(","&amp;TEXT(A74,"000")&amp;",",Reservas!$G$2:$G$501)))&gt;0))</f>
        <v>0</v>
      </c>
      <c r="C74" s="27" t="str">
        <f aca="false">IF(B74&gt;1,"⚠ Número anotado en más de una reserva","")</f>
        <v/>
      </c>
    </row>
    <row r="75" customFormat="false" ht="15" hidden="false" customHeight="false" outlineLevel="0" collapsed="false">
      <c r="A75" s="13" t="n">
        <v>74</v>
      </c>
      <c r="B75" s="13" t="n">
        <f aca="false">SUMPRODUCT(--((ISNUMBER(SEARCH(","&amp;A75&amp;",",Reservas!$G$2:$G$501)))+(ISNUMBER(SEARCH(","&amp;TEXT(A75,"00")&amp;",",Reservas!$G$2:$G$501)))+(ISNUMBER(SEARCH(","&amp;TEXT(A75,"000")&amp;",",Reservas!$G$2:$G$501)))&gt;0))</f>
        <v>1</v>
      </c>
      <c r="C75" s="27" t="str">
        <f aca="false">IF(B75&gt;1,"⚠ Número anotado en más de una reserva","")</f>
        <v/>
      </c>
    </row>
    <row r="76" customFormat="false" ht="15" hidden="false" customHeight="false" outlineLevel="0" collapsed="false">
      <c r="A76" s="13" t="n">
        <v>75</v>
      </c>
      <c r="B76" s="13" t="n">
        <f aca="false">SUMPRODUCT(--((ISNUMBER(SEARCH(","&amp;A76&amp;",",Reservas!$G$2:$G$501)))+(ISNUMBER(SEARCH(","&amp;TEXT(A76,"00")&amp;",",Reservas!$G$2:$G$501)))+(ISNUMBER(SEARCH(","&amp;TEXT(A76,"000")&amp;",",Reservas!$G$2:$G$501)))&gt;0))</f>
        <v>1</v>
      </c>
      <c r="C76" s="27" t="str">
        <f aca="false">IF(B76&gt;1,"⚠ Número anotado en más de una reserva","")</f>
        <v/>
      </c>
    </row>
    <row r="77" customFormat="false" ht="15" hidden="false" customHeight="false" outlineLevel="0" collapsed="false">
      <c r="A77" s="13" t="n">
        <v>76</v>
      </c>
      <c r="B77" s="13" t="n">
        <f aca="false">SUMPRODUCT(--((ISNUMBER(SEARCH(","&amp;A77&amp;",",Reservas!$G$2:$G$501)))+(ISNUMBER(SEARCH(","&amp;TEXT(A77,"00")&amp;",",Reservas!$G$2:$G$501)))+(ISNUMBER(SEARCH(","&amp;TEXT(A77,"000")&amp;",",Reservas!$G$2:$G$501)))&gt;0))</f>
        <v>0</v>
      </c>
      <c r="C77" s="27" t="str">
        <f aca="false">IF(B77&gt;1,"⚠ Número anotado en más de una reserva","")</f>
        <v/>
      </c>
    </row>
    <row r="78" customFormat="false" ht="15" hidden="false" customHeight="false" outlineLevel="0" collapsed="false">
      <c r="A78" s="13" t="n">
        <v>77</v>
      </c>
      <c r="B78" s="13" t="n">
        <f aca="false">SUMPRODUCT(--((ISNUMBER(SEARCH(","&amp;A78&amp;",",Reservas!$G$2:$G$501)))+(ISNUMBER(SEARCH(","&amp;TEXT(A78,"00")&amp;",",Reservas!$G$2:$G$501)))+(ISNUMBER(SEARCH(","&amp;TEXT(A78,"000")&amp;",",Reservas!$G$2:$G$501)))&gt;0))</f>
        <v>1</v>
      </c>
      <c r="C78" s="27" t="str">
        <f aca="false">IF(B78&gt;1,"⚠ Número anotado en más de una reserva","")</f>
        <v/>
      </c>
    </row>
    <row r="79" customFormat="false" ht="15" hidden="false" customHeight="false" outlineLevel="0" collapsed="false">
      <c r="A79" s="13" t="n">
        <v>78</v>
      </c>
      <c r="B79" s="13" t="n">
        <f aca="false">SUMPRODUCT(--((ISNUMBER(SEARCH(","&amp;A79&amp;",",Reservas!$G$2:$G$501)))+(ISNUMBER(SEARCH(","&amp;TEXT(A79,"00")&amp;",",Reservas!$G$2:$G$501)))+(ISNUMBER(SEARCH(","&amp;TEXT(A79,"000")&amp;",",Reservas!$G$2:$G$501)))&gt;0))</f>
        <v>0</v>
      </c>
      <c r="C79" s="27" t="str">
        <f aca="false">IF(B79&gt;1,"⚠ Número anotado en más de una reserva","")</f>
        <v/>
      </c>
    </row>
    <row r="80" customFormat="false" ht="15" hidden="false" customHeight="false" outlineLevel="0" collapsed="false">
      <c r="A80" s="13" t="n">
        <v>79</v>
      </c>
      <c r="B80" s="13" t="n">
        <f aca="false">SUMPRODUCT(--((ISNUMBER(SEARCH(","&amp;A80&amp;",",Reservas!$G$2:$G$501)))+(ISNUMBER(SEARCH(","&amp;TEXT(A80,"00")&amp;",",Reservas!$G$2:$G$501)))+(ISNUMBER(SEARCH(","&amp;TEXT(A80,"000")&amp;",",Reservas!$G$2:$G$501)))&gt;0))</f>
        <v>0</v>
      </c>
      <c r="C80" s="27" t="str">
        <f aca="false">IF(B80&gt;1,"⚠ Número anotado en más de una reserva","")</f>
        <v/>
      </c>
    </row>
    <row r="81" customFormat="false" ht="15" hidden="false" customHeight="false" outlineLevel="0" collapsed="false">
      <c r="A81" s="13" t="n">
        <v>80</v>
      </c>
      <c r="B81" s="13" t="n">
        <f aca="false">SUMPRODUCT(--((ISNUMBER(SEARCH(","&amp;A81&amp;",",Reservas!$G$2:$G$501)))+(ISNUMBER(SEARCH(","&amp;TEXT(A81,"00")&amp;",",Reservas!$G$2:$G$501)))+(ISNUMBER(SEARCH(","&amp;TEXT(A81,"000")&amp;",",Reservas!$G$2:$G$501)))&gt;0))</f>
        <v>1</v>
      </c>
      <c r="C81" s="27" t="str">
        <f aca="false">IF(B81&gt;1,"⚠ Número anotado en más de una reserva","")</f>
        <v/>
      </c>
    </row>
    <row r="82" customFormat="false" ht="15" hidden="false" customHeight="false" outlineLevel="0" collapsed="false">
      <c r="A82" s="13" t="n">
        <v>81</v>
      </c>
      <c r="B82" s="13" t="n">
        <f aca="false">SUMPRODUCT(--((ISNUMBER(SEARCH(","&amp;A82&amp;",",Reservas!$G$2:$G$501)))+(ISNUMBER(SEARCH(","&amp;TEXT(A82,"00")&amp;",",Reservas!$G$2:$G$501)))+(ISNUMBER(SEARCH(","&amp;TEXT(A82,"000")&amp;",",Reservas!$G$2:$G$501)))&gt;0))</f>
        <v>0</v>
      </c>
      <c r="C82" s="27" t="str">
        <f aca="false">IF(B82&gt;1,"⚠ Número anotado en más de una reserva","")</f>
        <v/>
      </c>
    </row>
    <row r="83" customFormat="false" ht="15" hidden="false" customHeight="false" outlineLevel="0" collapsed="false">
      <c r="A83" s="13" t="n">
        <v>82</v>
      </c>
      <c r="B83" s="13" t="n">
        <f aca="false">SUMPRODUCT(--((ISNUMBER(SEARCH(","&amp;A83&amp;",",Reservas!$G$2:$G$501)))+(ISNUMBER(SEARCH(","&amp;TEXT(A83,"00")&amp;",",Reservas!$G$2:$G$501)))+(ISNUMBER(SEARCH(","&amp;TEXT(A83,"000")&amp;",",Reservas!$G$2:$G$501)))&gt;0))</f>
        <v>0</v>
      </c>
      <c r="C83" s="27" t="str">
        <f aca="false">IF(B83&gt;1,"⚠ Número anotado en más de una reserva","")</f>
        <v/>
      </c>
    </row>
    <row r="84" customFormat="false" ht="15" hidden="false" customHeight="false" outlineLevel="0" collapsed="false">
      <c r="A84" s="13" t="n">
        <v>83</v>
      </c>
      <c r="B84" s="13" t="n">
        <f aca="false">SUMPRODUCT(--((ISNUMBER(SEARCH(","&amp;A84&amp;",",Reservas!$G$2:$G$501)))+(ISNUMBER(SEARCH(","&amp;TEXT(A84,"00")&amp;",",Reservas!$G$2:$G$501)))+(ISNUMBER(SEARCH(","&amp;TEXT(A84,"000")&amp;",",Reservas!$G$2:$G$501)))&gt;0))</f>
        <v>1</v>
      </c>
      <c r="C84" s="27" t="str">
        <f aca="false">IF(B84&gt;1,"⚠ Número anotado en más de una reserva","")</f>
        <v/>
      </c>
    </row>
    <row r="85" customFormat="false" ht="15" hidden="false" customHeight="false" outlineLevel="0" collapsed="false">
      <c r="A85" s="13" t="n">
        <v>84</v>
      </c>
      <c r="B85" s="13" t="n">
        <f aca="false">SUMPRODUCT(--((ISNUMBER(SEARCH(","&amp;A85&amp;",",Reservas!$G$2:$G$501)))+(ISNUMBER(SEARCH(","&amp;TEXT(A85,"00")&amp;",",Reservas!$G$2:$G$501)))+(ISNUMBER(SEARCH(","&amp;TEXT(A85,"000")&amp;",",Reservas!$G$2:$G$501)))&gt;0))</f>
        <v>0</v>
      </c>
      <c r="C85" s="27" t="str">
        <f aca="false">IF(B85&gt;1,"⚠ Número anotado en más de una reserva","")</f>
        <v/>
      </c>
    </row>
    <row r="86" customFormat="false" ht="15" hidden="false" customHeight="false" outlineLevel="0" collapsed="false">
      <c r="A86" s="13" t="n">
        <v>85</v>
      </c>
      <c r="B86" s="13" t="n">
        <f aca="false">SUMPRODUCT(--((ISNUMBER(SEARCH(","&amp;A86&amp;",",Reservas!$G$2:$G$501)))+(ISNUMBER(SEARCH(","&amp;TEXT(A86,"00")&amp;",",Reservas!$G$2:$G$501)))+(ISNUMBER(SEARCH(","&amp;TEXT(A86,"000")&amp;",",Reservas!$G$2:$G$501)))&gt;0))</f>
        <v>0</v>
      </c>
      <c r="C86" s="27" t="str">
        <f aca="false">IF(B86&gt;1,"⚠ Número anotado en más de una reserva","")</f>
        <v/>
      </c>
    </row>
    <row r="87" customFormat="false" ht="15" hidden="false" customHeight="false" outlineLevel="0" collapsed="false">
      <c r="A87" s="13" t="n">
        <v>86</v>
      </c>
      <c r="B87" s="13" t="n">
        <f aca="false">SUMPRODUCT(--((ISNUMBER(SEARCH(","&amp;A87&amp;",",Reservas!$G$2:$G$501)))+(ISNUMBER(SEARCH(","&amp;TEXT(A87,"00")&amp;",",Reservas!$G$2:$G$501)))+(ISNUMBER(SEARCH(","&amp;TEXT(A87,"000")&amp;",",Reservas!$G$2:$G$501)))&gt;0))</f>
        <v>0</v>
      </c>
      <c r="C87" s="27" t="str">
        <f aca="false">IF(B87&gt;1,"⚠ Número anotado en más de una reserva","")</f>
        <v/>
      </c>
    </row>
    <row r="88" customFormat="false" ht="15" hidden="false" customHeight="false" outlineLevel="0" collapsed="false">
      <c r="A88" s="13" t="n">
        <v>87</v>
      </c>
      <c r="B88" s="13" t="n">
        <f aca="false">SUMPRODUCT(--((ISNUMBER(SEARCH(","&amp;A88&amp;",",Reservas!$G$2:$G$501)))+(ISNUMBER(SEARCH(","&amp;TEXT(A88,"00")&amp;",",Reservas!$G$2:$G$501)))+(ISNUMBER(SEARCH(","&amp;TEXT(A88,"000")&amp;",",Reservas!$G$2:$G$501)))&gt;0))</f>
        <v>0</v>
      </c>
      <c r="C88" s="27" t="str">
        <f aca="false">IF(B88&gt;1,"⚠ Número anotado en más de una reserva","")</f>
        <v/>
      </c>
    </row>
    <row r="89" customFormat="false" ht="15" hidden="false" customHeight="false" outlineLevel="0" collapsed="false">
      <c r="A89" s="13" t="n">
        <v>88</v>
      </c>
      <c r="B89" s="13" t="n">
        <f aca="false">SUMPRODUCT(--((ISNUMBER(SEARCH(","&amp;A89&amp;",",Reservas!$G$2:$G$501)))+(ISNUMBER(SEARCH(","&amp;TEXT(A89,"00")&amp;",",Reservas!$G$2:$G$501)))+(ISNUMBER(SEARCH(","&amp;TEXT(A89,"000")&amp;",",Reservas!$G$2:$G$501)))&gt;0))</f>
        <v>1</v>
      </c>
      <c r="C89" s="27" t="str">
        <f aca="false">IF(B89&gt;1,"⚠ Número anotado en más de una reserva","")</f>
        <v/>
      </c>
    </row>
    <row r="90" customFormat="false" ht="15" hidden="false" customHeight="false" outlineLevel="0" collapsed="false">
      <c r="A90" s="13" t="n">
        <v>89</v>
      </c>
      <c r="B90" s="13" t="n">
        <f aca="false">SUMPRODUCT(--((ISNUMBER(SEARCH(","&amp;A90&amp;",",Reservas!$G$2:$G$501)))+(ISNUMBER(SEARCH(","&amp;TEXT(A90,"00")&amp;",",Reservas!$G$2:$G$501)))+(ISNUMBER(SEARCH(","&amp;TEXT(A90,"000")&amp;",",Reservas!$G$2:$G$501)))&gt;0))</f>
        <v>0</v>
      </c>
      <c r="C90" s="27" t="str">
        <f aca="false">IF(B90&gt;1,"⚠ Número anotado en más de una reserva","")</f>
        <v/>
      </c>
    </row>
    <row r="91" customFormat="false" ht="15" hidden="false" customHeight="false" outlineLevel="0" collapsed="false">
      <c r="A91" s="13" t="n">
        <v>90</v>
      </c>
      <c r="B91" s="13" t="n">
        <f aca="false">SUMPRODUCT(--((ISNUMBER(SEARCH(","&amp;A91&amp;",",Reservas!$G$2:$G$501)))+(ISNUMBER(SEARCH(","&amp;TEXT(A91,"00")&amp;",",Reservas!$G$2:$G$501)))+(ISNUMBER(SEARCH(","&amp;TEXT(A91,"000")&amp;",",Reservas!$G$2:$G$501)))&gt;0))</f>
        <v>0</v>
      </c>
      <c r="C91" s="27" t="str">
        <f aca="false">IF(B91&gt;1,"⚠ Número anotado en más de una reserva","")</f>
        <v/>
      </c>
    </row>
    <row r="92" customFormat="false" ht="15" hidden="false" customHeight="false" outlineLevel="0" collapsed="false">
      <c r="A92" s="13" t="n">
        <v>91</v>
      </c>
      <c r="B92" s="13" t="n">
        <f aca="false">SUMPRODUCT(--((ISNUMBER(SEARCH(","&amp;A92&amp;",",Reservas!$G$2:$G$501)))+(ISNUMBER(SEARCH(","&amp;TEXT(A92,"00")&amp;",",Reservas!$G$2:$G$501)))+(ISNUMBER(SEARCH(","&amp;TEXT(A92,"000")&amp;",",Reservas!$G$2:$G$501)))&gt;0))</f>
        <v>0</v>
      </c>
      <c r="C92" s="27" t="str">
        <f aca="false">IF(B92&gt;1,"⚠ Número anotado en más de una reserva","")</f>
        <v/>
      </c>
    </row>
    <row r="93" customFormat="false" ht="15" hidden="false" customHeight="false" outlineLevel="0" collapsed="false">
      <c r="A93" s="13" t="n">
        <v>92</v>
      </c>
      <c r="B93" s="13" t="n">
        <f aca="false">SUMPRODUCT(--((ISNUMBER(SEARCH(","&amp;A93&amp;",",Reservas!$G$2:$G$501)))+(ISNUMBER(SEARCH(","&amp;TEXT(A93,"00")&amp;",",Reservas!$G$2:$G$501)))+(ISNUMBER(SEARCH(","&amp;TEXT(A93,"000")&amp;",",Reservas!$G$2:$G$501)))&gt;0))</f>
        <v>0</v>
      </c>
      <c r="C93" s="27" t="str">
        <f aca="false">IF(B93&gt;1,"⚠ Número anotado en más de una reserva","")</f>
        <v/>
      </c>
    </row>
    <row r="94" customFormat="false" ht="15" hidden="false" customHeight="false" outlineLevel="0" collapsed="false">
      <c r="A94" s="13" t="n">
        <v>93</v>
      </c>
      <c r="B94" s="13" t="n">
        <f aca="false">SUMPRODUCT(--((ISNUMBER(SEARCH(","&amp;A94&amp;",",Reservas!$G$2:$G$501)))+(ISNUMBER(SEARCH(","&amp;TEXT(A94,"00")&amp;",",Reservas!$G$2:$G$501)))+(ISNUMBER(SEARCH(","&amp;TEXT(A94,"000")&amp;",",Reservas!$G$2:$G$501)))&gt;0))</f>
        <v>1</v>
      </c>
      <c r="C94" s="27" t="str">
        <f aca="false">IF(B94&gt;1,"⚠ Número anotado en más de una reserva","")</f>
        <v/>
      </c>
    </row>
    <row r="95" customFormat="false" ht="15" hidden="false" customHeight="false" outlineLevel="0" collapsed="false">
      <c r="A95" s="13" t="n">
        <v>94</v>
      </c>
      <c r="B95" s="13" t="n">
        <f aca="false">SUMPRODUCT(--((ISNUMBER(SEARCH(","&amp;A95&amp;",",Reservas!$G$2:$G$501)))+(ISNUMBER(SEARCH(","&amp;TEXT(A95,"00")&amp;",",Reservas!$G$2:$G$501)))+(ISNUMBER(SEARCH(","&amp;TEXT(A95,"000")&amp;",",Reservas!$G$2:$G$501)))&gt;0))</f>
        <v>0</v>
      </c>
      <c r="C95" s="27" t="str">
        <f aca="false">IF(B95&gt;1,"⚠ Número anotado en más de una reserva","")</f>
        <v/>
      </c>
    </row>
    <row r="96" customFormat="false" ht="15" hidden="false" customHeight="false" outlineLevel="0" collapsed="false">
      <c r="A96" s="13" t="n">
        <v>95</v>
      </c>
      <c r="B96" s="13" t="n">
        <f aca="false">SUMPRODUCT(--((ISNUMBER(SEARCH(","&amp;A96&amp;",",Reservas!$G$2:$G$501)))+(ISNUMBER(SEARCH(","&amp;TEXT(A96,"00")&amp;",",Reservas!$G$2:$G$501)))+(ISNUMBER(SEARCH(","&amp;TEXT(A96,"000")&amp;",",Reservas!$G$2:$G$501)))&gt;0))</f>
        <v>0</v>
      </c>
      <c r="C96" s="27" t="str">
        <f aca="false">IF(B96&gt;1,"⚠ Número anotado en más de una reserva","")</f>
        <v/>
      </c>
    </row>
    <row r="97" customFormat="false" ht="15" hidden="false" customHeight="false" outlineLevel="0" collapsed="false">
      <c r="A97" s="13" t="n">
        <v>96</v>
      </c>
      <c r="B97" s="13" t="n">
        <f aca="false">SUMPRODUCT(--((ISNUMBER(SEARCH(","&amp;A97&amp;",",Reservas!$G$2:$G$501)))+(ISNUMBER(SEARCH(","&amp;TEXT(A97,"00")&amp;",",Reservas!$G$2:$G$501)))+(ISNUMBER(SEARCH(","&amp;TEXT(A97,"000")&amp;",",Reservas!$G$2:$G$501)))&gt;0))</f>
        <v>0</v>
      </c>
      <c r="C97" s="27" t="str">
        <f aca="false">IF(B97&gt;1,"⚠ Número anotado en más de una reserva","")</f>
        <v/>
      </c>
    </row>
    <row r="98" customFormat="false" ht="15" hidden="false" customHeight="false" outlineLevel="0" collapsed="false">
      <c r="A98" s="13" t="n">
        <v>97</v>
      </c>
      <c r="B98" s="13" t="n">
        <f aca="false">SUMPRODUCT(--((ISNUMBER(SEARCH(","&amp;A98&amp;",",Reservas!$G$2:$G$501)))+(ISNUMBER(SEARCH(","&amp;TEXT(A98,"00")&amp;",",Reservas!$G$2:$G$501)))+(ISNUMBER(SEARCH(","&amp;TEXT(A98,"000")&amp;",",Reservas!$G$2:$G$501)))&gt;0))</f>
        <v>0</v>
      </c>
      <c r="C98" s="27" t="str">
        <f aca="false">IF(B98&gt;1,"⚠ Número anotado en más de una reserva","")</f>
        <v/>
      </c>
    </row>
    <row r="99" customFormat="false" ht="15" hidden="false" customHeight="false" outlineLevel="0" collapsed="false">
      <c r="A99" s="13" t="n">
        <v>98</v>
      </c>
      <c r="B99" s="13" t="n">
        <f aca="false">SUMPRODUCT(--((ISNUMBER(SEARCH(","&amp;A99&amp;",",Reservas!$G$2:$G$501)))+(ISNUMBER(SEARCH(","&amp;TEXT(A99,"00")&amp;",",Reservas!$G$2:$G$501)))+(ISNUMBER(SEARCH(","&amp;TEXT(A99,"000")&amp;",",Reservas!$G$2:$G$501)))&gt;0))</f>
        <v>0</v>
      </c>
      <c r="C99" s="27" t="str">
        <f aca="false">IF(B99&gt;1,"⚠ Número anotado en más de una reserva","")</f>
        <v/>
      </c>
    </row>
    <row r="100" customFormat="false" ht="15" hidden="false" customHeight="false" outlineLevel="0" collapsed="false">
      <c r="A100" s="13" t="n">
        <v>99</v>
      </c>
      <c r="B100" s="13" t="n">
        <f aca="false">SUMPRODUCT(--((ISNUMBER(SEARCH(","&amp;A100&amp;",",Reservas!$G$2:$G$501)))+(ISNUMBER(SEARCH(","&amp;TEXT(A100,"00")&amp;",",Reservas!$G$2:$G$501)))+(ISNUMBER(SEARCH(","&amp;TEXT(A100,"000")&amp;",",Reservas!$G$2:$G$501)))&gt;0))</f>
        <v>0</v>
      </c>
      <c r="C100" s="27" t="str">
        <f aca="false">IF(B100&gt;1,"⚠ Número anotado en más de una reserva","")</f>
        <v/>
      </c>
    </row>
    <row r="101" customFormat="false" ht="15" hidden="false" customHeight="false" outlineLevel="0" collapsed="false">
      <c r="A101" s="13" t="n">
        <v>100</v>
      </c>
      <c r="B101" s="13" t="n">
        <f aca="false">SUMPRODUCT(--((ISNUMBER(SEARCH(","&amp;A101&amp;",",Reservas!$G$2:$G$501)))+(ISNUMBER(SEARCH(","&amp;TEXT(A101,"00")&amp;",",Reservas!$G$2:$G$501)))+(ISNUMBER(SEARCH(","&amp;TEXT(A101,"000")&amp;",",Reservas!$G$2:$G$501)))&gt;0))</f>
        <v>0</v>
      </c>
      <c r="C101" s="27" t="str">
        <f aca="false">IF(B101&gt;1,"⚠ Número anotado en más de una reserva","")</f>
        <v/>
      </c>
    </row>
    <row r="102" customFormat="false" ht="15" hidden="false" customHeight="false" outlineLevel="0" collapsed="false">
      <c r="A102" s="13" t="n">
        <v>101</v>
      </c>
      <c r="B102" s="13" t="n">
        <f aca="false">SUMPRODUCT(--((ISNUMBER(SEARCH(","&amp;A102&amp;",",Reservas!$G$2:$G$501)))+(ISNUMBER(SEARCH(","&amp;TEXT(A102,"00")&amp;",",Reservas!$G$2:$G$501)))+(ISNUMBER(SEARCH(","&amp;TEXT(A102,"000")&amp;",",Reservas!$G$2:$G$501)))&gt;0))</f>
        <v>0</v>
      </c>
      <c r="C102" s="27" t="str">
        <f aca="false">IF(B102&gt;1,"⚠ Número anotado en más de una reserva","")</f>
        <v/>
      </c>
    </row>
    <row r="103" customFormat="false" ht="15" hidden="false" customHeight="false" outlineLevel="0" collapsed="false">
      <c r="A103" s="13" t="n">
        <v>102</v>
      </c>
      <c r="B103" s="13" t="n">
        <f aca="false">SUMPRODUCT(--((ISNUMBER(SEARCH(","&amp;A103&amp;",",Reservas!$G$2:$G$501)))+(ISNUMBER(SEARCH(","&amp;TEXT(A103,"00")&amp;",",Reservas!$G$2:$G$501)))+(ISNUMBER(SEARCH(","&amp;TEXT(A103,"000")&amp;",",Reservas!$G$2:$G$501)))&gt;0))</f>
        <v>0</v>
      </c>
      <c r="C103" s="27" t="str">
        <f aca="false">IF(B103&gt;1,"⚠ Número anotado en más de una reserva","")</f>
        <v/>
      </c>
    </row>
    <row r="104" customFormat="false" ht="15" hidden="false" customHeight="false" outlineLevel="0" collapsed="false">
      <c r="A104" s="13" t="n">
        <v>103</v>
      </c>
      <c r="B104" s="13" t="n">
        <f aca="false">SUMPRODUCT(--((ISNUMBER(SEARCH(","&amp;A104&amp;",",Reservas!$G$2:$G$501)))+(ISNUMBER(SEARCH(","&amp;TEXT(A104,"00")&amp;",",Reservas!$G$2:$G$501)))+(ISNUMBER(SEARCH(","&amp;TEXT(A104,"000")&amp;",",Reservas!$G$2:$G$501)))&gt;0))</f>
        <v>0</v>
      </c>
      <c r="C104" s="27" t="str">
        <f aca="false">IF(B104&gt;1,"⚠ Número anotado en más de una reserva","")</f>
        <v/>
      </c>
    </row>
    <row r="105" customFormat="false" ht="15" hidden="false" customHeight="false" outlineLevel="0" collapsed="false">
      <c r="A105" s="13" t="n">
        <v>104</v>
      </c>
      <c r="B105" s="13" t="n">
        <f aca="false">SUMPRODUCT(--((ISNUMBER(SEARCH(","&amp;A105&amp;",",Reservas!$G$2:$G$501)))+(ISNUMBER(SEARCH(","&amp;TEXT(A105,"00")&amp;",",Reservas!$G$2:$G$501)))+(ISNUMBER(SEARCH(","&amp;TEXT(A105,"000")&amp;",",Reservas!$G$2:$G$501)))&gt;0))</f>
        <v>0</v>
      </c>
      <c r="C105" s="27" t="str">
        <f aca="false">IF(B105&gt;1,"⚠ Número anotado en más de una reserva","")</f>
        <v/>
      </c>
    </row>
    <row r="106" customFormat="false" ht="15" hidden="false" customHeight="false" outlineLevel="0" collapsed="false">
      <c r="A106" s="13" t="n">
        <v>105</v>
      </c>
      <c r="B106" s="13" t="n">
        <f aca="false">SUMPRODUCT(--((ISNUMBER(SEARCH(","&amp;A106&amp;",",Reservas!$G$2:$G$501)))+(ISNUMBER(SEARCH(","&amp;TEXT(A106,"00")&amp;",",Reservas!$G$2:$G$501)))+(ISNUMBER(SEARCH(","&amp;TEXT(A106,"000")&amp;",",Reservas!$G$2:$G$501)))&gt;0))</f>
        <v>0</v>
      </c>
      <c r="C106" s="27" t="str">
        <f aca="false">IF(B106&gt;1,"⚠ Número anotado en más de una reserva","")</f>
        <v/>
      </c>
    </row>
    <row r="107" customFormat="false" ht="15" hidden="false" customHeight="false" outlineLevel="0" collapsed="false">
      <c r="A107" s="13" t="n">
        <v>106</v>
      </c>
      <c r="B107" s="13" t="n">
        <f aca="false">SUMPRODUCT(--((ISNUMBER(SEARCH(","&amp;A107&amp;",",Reservas!$G$2:$G$501)))+(ISNUMBER(SEARCH(","&amp;TEXT(A107,"00")&amp;",",Reservas!$G$2:$G$501)))+(ISNUMBER(SEARCH(","&amp;TEXT(A107,"000")&amp;",",Reservas!$G$2:$G$501)))&gt;0))</f>
        <v>0</v>
      </c>
      <c r="C107" s="27" t="str">
        <f aca="false">IF(B107&gt;1,"⚠ Número anotado en más de una reserva","")</f>
        <v/>
      </c>
    </row>
    <row r="108" customFormat="false" ht="15" hidden="false" customHeight="false" outlineLevel="0" collapsed="false">
      <c r="A108" s="13" t="n">
        <v>107</v>
      </c>
      <c r="B108" s="13" t="n">
        <f aca="false">SUMPRODUCT(--((ISNUMBER(SEARCH(","&amp;A108&amp;",",Reservas!$G$2:$G$501)))+(ISNUMBER(SEARCH(","&amp;TEXT(A108,"00")&amp;",",Reservas!$G$2:$G$501)))+(ISNUMBER(SEARCH(","&amp;TEXT(A108,"000")&amp;",",Reservas!$G$2:$G$501)))&gt;0))</f>
        <v>1</v>
      </c>
      <c r="C108" s="27" t="str">
        <f aca="false">IF(B108&gt;1,"⚠ Número anotado en más de una reserva","")</f>
        <v/>
      </c>
    </row>
    <row r="109" customFormat="false" ht="15" hidden="false" customHeight="false" outlineLevel="0" collapsed="false">
      <c r="A109" s="13" t="n">
        <v>108</v>
      </c>
      <c r="B109" s="13" t="n">
        <f aca="false">SUMPRODUCT(--((ISNUMBER(SEARCH(","&amp;A109&amp;",",Reservas!$G$2:$G$501)))+(ISNUMBER(SEARCH(","&amp;TEXT(A109,"00")&amp;",",Reservas!$G$2:$G$501)))+(ISNUMBER(SEARCH(","&amp;TEXT(A109,"000")&amp;",",Reservas!$G$2:$G$501)))&gt;0))</f>
        <v>0</v>
      </c>
      <c r="C109" s="27" t="str">
        <f aca="false">IF(B109&gt;1,"⚠ Número anotado en más de una reserva","")</f>
        <v/>
      </c>
    </row>
    <row r="110" customFormat="false" ht="15" hidden="false" customHeight="false" outlineLevel="0" collapsed="false">
      <c r="A110" s="13" t="n">
        <v>109</v>
      </c>
      <c r="B110" s="13" t="n">
        <f aca="false">SUMPRODUCT(--((ISNUMBER(SEARCH(","&amp;A110&amp;",",Reservas!$G$2:$G$501)))+(ISNUMBER(SEARCH(","&amp;TEXT(A110,"00")&amp;",",Reservas!$G$2:$G$501)))+(ISNUMBER(SEARCH(","&amp;TEXT(A110,"000")&amp;",",Reservas!$G$2:$G$501)))&gt;0))</f>
        <v>0</v>
      </c>
      <c r="C110" s="27" t="str">
        <f aca="false">IF(B110&gt;1,"⚠ Número anotado en más de una reserva","")</f>
        <v/>
      </c>
    </row>
    <row r="111" customFormat="false" ht="15" hidden="false" customHeight="false" outlineLevel="0" collapsed="false">
      <c r="A111" s="13" t="n">
        <v>110</v>
      </c>
      <c r="B111" s="13" t="n">
        <f aca="false">SUMPRODUCT(--((ISNUMBER(SEARCH(","&amp;A111&amp;",",Reservas!$G$2:$G$501)))+(ISNUMBER(SEARCH(","&amp;TEXT(A111,"00")&amp;",",Reservas!$G$2:$G$501)))+(ISNUMBER(SEARCH(","&amp;TEXT(A111,"000")&amp;",",Reservas!$G$2:$G$501)))&gt;0))</f>
        <v>0</v>
      </c>
      <c r="C111" s="27" t="str">
        <f aca="false">IF(B111&gt;1,"⚠ Número anotado en más de una reserva","")</f>
        <v/>
      </c>
    </row>
    <row r="112" customFormat="false" ht="15" hidden="false" customHeight="false" outlineLevel="0" collapsed="false">
      <c r="A112" s="13" t="n">
        <v>111</v>
      </c>
      <c r="B112" s="13" t="n">
        <f aca="false">SUMPRODUCT(--((ISNUMBER(SEARCH(","&amp;A112&amp;",",Reservas!$G$2:$G$501)))+(ISNUMBER(SEARCH(","&amp;TEXT(A112,"00")&amp;",",Reservas!$G$2:$G$501)))+(ISNUMBER(SEARCH(","&amp;TEXT(A112,"000")&amp;",",Reservas!$G$2:$G$501)))&gt;0))</f>
        <v>1</v>
      </c>
      <c r="C112" s="27" t="str">
        <f aca="false">IF(B112&gt;1,"⚠ Número anotado en más de una reserva","")</f>
        <v/>
      </c>
    </row>
    <row r="113" customFormat="false" ht="15" hidden="false" customHeight="false" outlineLevel="0" collapsed="false">
      <c r="A113" s="13" t="n">
        <v>112</v>
      </c>
      <c r="B113" s="13" t="n">
        <f aca="false">SUMPRODUCT(--((ISNUMBER(SEARCH(","&amp;A113&amp;",",Reservas!$G$2:$G$501)))+(ISNUMBER(SEARCH(","&amp;TEXT(A113,"00")&amp;",",Reservas!$G$2:$G$501)))+(ISNUMBER(SEARCH(","&amp;TEXT(A113,"000")&amp;",",Reservas!$G$2:$G$501)))&gt;0))</f>
        <v>1</v>
      </c>
      <c r="C113" s="27" t="str">
        <f aca="false">IF(B113&gt;1,"⚠ Número anotado en más de una reserva","")</f>
        <v/>
      </c>
    </row>
    <row r="114" customFormat="false" ht="15" hidden="false" customHeight="false" outlineLevel="0" collapsed="false">
      <c r="A114" s="13" t="n">
        <v>113</v>
      </c>
      <c r="B114" s="13" t="n">
        <f aca="false">SUMPRODUCT(--((ISNUMBER(SEARCH(","&amp;A114&amp;",",Reservas!$G$2:$G$501)))+(ISNUMBER(SEARCH(","&amp;TEXT(A114,"00")&amp;",",Reservas!$G$2:$G$501)))+(ISNUMBER(SEARCH(","&amp;TEXT(A114,"000")&amp;",",Reservas!$G$2:$G$501)))&gt;0))</f>
        <v>0</v>
      </c>
      <c r="C114" s="27" t="str">
        <f aca="false">IF(B114&gt;1,"⚠ Número anotado en más de una reserva","")</f>
        <v/>
      </c>
    </row>
    <row r="115" customFormat="false" ht="15" hidden="false" customHeight="false" outlineLevel="0" collapsed="false">
      <c r="A115" s="13" t="n">
        <v>114</v>
      </c>
      <c r="B115" s="13" t="n">
        <f aca="false">SUMPRODUCT(--((ISNUMBER(SEARCH(","&amp;A115&amp;",",Reservas!$G$2:$G$501)))+(ISNUMBER(SEARCH(","&amp;TEXT(A115,"00")&amp;",",Reservas!$G$2:$G$501)))+(ISNUMBER(SEARCH(","&amp;TEXT(A115,"000")&amp;",",Reservas!$G$2:$G$501)))&gt;0))</f>
        <v>0</v>
      </c>
      <c r="C115" s="27" t="str">
        <f aca="false">IF(B115&gt;1,"⚠ Número anotado en más de una reserva","")</f>
        <v/>
      </c>
    </row>
    <row r="116" customFormat="false" ht="15" hidden="false" customHeight="false" outlineLevel="0" collapsed="false">
      <c r="A116" s="13" t="n">
        <v>115</v>
      </c>
      <c r="B116" s="13" t="n">
        <f aca="false">SUMPRODUCT(--((ISNUMBER(SEARCH(","&amp;A116&amp;",",Reservas!$G$2:$G$501)))+(ISNUMBER(SEARCH(","&amp;TEXT(A116,"00")&amp;",",Reservas!$G$2:$G$501)))+(ISNUMBER(SEARCH(","&amp;TEXT(A116,"000")&amp;",",Reservas!$G$2:$G$501)))&gt;0))</f>
        <v>0</v>
      </c>
      <c r="C116" s="27" t="str">
        <f aca="false">IF(B116&gt;1,"⚠ Número anotado en más de una reserva","")</f>
        <v/>
      </c>
    </row>
    <row r="117" customFormat="false" ht="15" hidden="false" customHeight="false" outlineLevel="0" collapsed="false">
      <c r="A117" s="13" t="n">
        <v>116</v>
      </c>
      <c r="B117" s="13" t="n">
        <f aca="false">SUMPRODUCT(--((ISNUMBER(SEARCH(","&amp;A117&amp;",",Reservas!$G$2:$G$501)))+(ISNUMBER(SEARCH(","&amp;TEXT(A117,"00")&amp;",",Reservas!$G$2:$G$501)))+(ISNUMBER(SEARCH(","&amp;TEXT(A117,"000")&amp;",",Reservas!$G$2:$G$501)))&gt;0))</f>
        <v>0</v>
      </c>
      <c r="C117" s="27" t="str">
        <f aca="false">IF(B117&gt;1,"⚠ Número anotado en más de una reserva","")</f>
        <v/>
      </c>
    </row>
    <row r="118" customFormat="false" ht="15" hidden="false" customHeight="false" outlineLevel="0" collapsed="false">
      <c r="A118" s="13" t="n">
        <v>117</v>
      </c>
      <c r="B118" s="13" t="n">
        <f aca="false">SUMPRODUCT(--((ISNUMBER(SEARCH(","&amp;A118&amp;",",Reservas!$G$2:$G$501)))+(ISNUMBER(SEARCH(","&amp;TEXT(A118,"00")&amp;",",Reservas!$G$2:$G$501)))+(ISNUMBER(SEARCH(","&amp;TEXT(A118,"000")&amp;",",Reservas!$G$2:$G$501)))&gt;0))</f>
        <v>0</v>
      </c>
      <c r="C118" s="27" t="str">
        <f aca="false">IF(B118&gt;1,"⚠ Número anotado en más de una reserva","")</f>
        <v/>
      </c>
    </row>
    <row r="119" customFormat="false" ht="15" hidden="false" customHeight="false" outlineLevel="0" collapsed="false">
      <c r="A119" s="13" t="n">
        <v>118</v>
      </c>
      <c r="B119" s="13" t="n">
        <f aca="false">SUMPRODUCT(--((ISNUMBER(SEARCH(","&amp;A119&amp;",",Reservas!$G$2:$G$501)))+(ISNUMBER(SEARCH(","&amp;TEXT(A119,"00")&amp;",",Reservas!$G$2:$G$501)))+(ISNUMBER(SEARCH(","&amp;TEXT(A119,"000")&amp;",",Reservas!$G$2:$G$501)))&gt;0))</f>
        <v>0</v>
      </c>
      <c r="C119" s="27" t="str">
        <f aca="false">IF(B119&gt;1,"⚠ Número anotado en más de una reserva","")</f>
        <v/>
      </c>
    </row>
    <row r="120" customFormat="false" ht="15" hidden="false" customHeight="false" outlineLevel="0" collapsed="false">
      <c r="A120" s="13" t="n">
        <v>119</v>
      </c>
      <c r="B120" s="13" t="n">
        <f aca="false">SUMPRODUCT(--((ISNUMBER(SEARCH(","&amp;A120&amp;",",Reservas!$G$2:$G$501)))+(ISNUMBER(SEARCH(","&amp;TEXT(A120,"00")&amp;",",Reservas!$G$2:$G$501)))+(ISNUMBER(SEARCH(","&amp;TEXT(A120,"000")&amp;",",Reservas!$G$2:$G$501)))&gt;0))</f>
        <v>0</v>
      </c>
      <c r="C120" s="27" t="str">
        <f aca="false">IF(B120&gt;1,"⚠ Número anotado en más de una reserva","")</f>
        <v/>
      </c>
    </row>
    <row r="121" customFormat="false" ht="15" hidden="false" customHeight="false" outlineLevel="0" collapsed="false">
      <c r="A121" s="13" t="n">
        <v>120</v>
      </c>
      <c r="B121" s="13" t="n">
        <f aca="false">SUMPRODUCT(--((ISNUMBER(SEARCH(","&amp;A121&amp;",",Reservas!$G$2:$G$501)))+(ISNUMBER(SEARCH(","&amp;TEXT(A121,"00")&amp;",",Reservas!$G$2:$G$501)))+(ISNUMBER(SEARCH(","&amp;TEXT(A121,"000")&amp;",",Reservas!$G$2:$G$501)))&gt;0))</f>
        <v>0</v>
      </c>
      <c r="C121" s="27" t="str">
        <f aca="false">IF(B121&gt;1,"⚠ Número anotado en más de una reserva","")</f>
        <v/>
      </c>
    </row>
    <row r="122" customFormat="false" ht="15" hidden="false" customHeight="false" outlineLevel="0" collapsed="false">
      <c r="A122" s="13" t="n">
        <v>121</v>
      </c>
      <c r="B122" s="13" t="n">
        <f aca="false">SUMPRODUCT(--((ISNUMBER(SEARCH(","&amp;A122&amp;",",Reservas!$G$2:$G$501)))+(ISNUMBER(SEARCH(","&amp;TEXT(A122,"00")&amp;",",Reservas!$G$2:$G$501)))+(ISNUMBER(SEARCH(","&amp;TEXT(A122,"000")&amp;",",Reservas!$G$2:$G$501)))&gt;0))</f>
        <v>1</v>
      </c>
      <c r="C122" s="27" t="str">
        <f aca="false">IF(B122&gt;1,"⚠ Número anotado en más de una reserva","")</f>
        <v/>
      </c>
    </row>
    <row r="123" customFormat="false" ht="15" hidden="false" customHeight="false" outlineLevel="0" collapsed="false">
      <c r="A123" s="13" t="n">
        <v>122</v>
      </c>
      <c r="B123" s="13" t="n">
        <f aca="false">SUMPRODUCT(--((ISNUMBER(SEARCH(","&amp;A123&amp;",",Reservas!$G$2:$G$501)))+(ISNUMBER(SEARCH(","&amp;TEXT(A123,"00")&amp;",",Reservas!$G$2:$G$501)))+(ISNUMBER(SEARCH(","&amp;TEXT(A123,"000")&amp;",",Reservas!$G$2:$G$501)))&gt;0))</f>
        <v>1</v>
      </c>
      <c r="C123" s="27" t="str">
        <f aca="false">IF(B123&gt;1,"⚠ Número anotado en más de una reserva","")</f>
        <v/>
      </c>
    </row>
    <row r="124" customFormat="false" ht="15" hidden="false" customHeight="false" outlineLevel="0" collapsed="false">
      <c r="A124" s="13" t="n">
        <v>123</v>
      </c>
      <c r="B124" s="13" t="n">
        <f aca="false">SUMPRODUCT(--((ISNUMBER(SEARCH(","&amp;A124&amp;",",Reservas!$G$2:$G$501)))+(ISNUMBER(SEARCH(","&amp;TEXT(A124,"00")&amp;",",Reservas!$G$2:$G$501)))+(ISNUMBER(SEARCH(","&amp;TEXT(A124,"000")&amp;",",Reservas!$G$2:$G$501)))&gt;0))</f>
        <v>0</v>
      </c>
      <c r="C124" s="27" t="str">
        <f aca="false">IF(B124&gt;1,"⚠ Número anotado en más de una reserva","")</f>
        <v/>
      </c>
    </row>
    <row r="125" customFormat="false" ht="15" hidden="false" customHeight="false" outlineLevel="0" collapsed="false">
      <c r="A125" s="13" t="n">
        <v>124</v>
      </c>
      <c r="B125" s="13" t="n">
        <f aca="false">SUMPRODUCT(--((ISNUMBER(SEARCH(","&amp;A125&amp;",",Reservas!$G$2:$G$501)))+(ISNUMBER(SEARCH(","&amp;TEXT(A125,"00")&amp;",",Reservas!$G$2:$G$501)))+(ISNUMBER(SEARCH(","&amp;TEXT(A125,"000")&amp;",",Reservas!$G$2:$G$501)))&gt;0))</f>
        <v>0</v>
      </c>
      <c r="C125" s="27" t="str">
        <f aca="false">IF(B125&gt;1,"⚠ Número anotado en más de una reserva","")</f>
        <v/>
      </c>
    </row>
    <row r="126" customFormat="false" ht="15" hidden="false" customHeight="false" outlineLevel="0" collapsed="false">
      <c r="A126" s="13" t="n">
        <v>125</v>
      </c>
      <c r="B126" s="13" t="n">
        <f aca="false">SUMPRODUCT(--((ISNUMBER(SEARCH(","&amp;A126&amp;",",Reservas!$G$2:$G$501)))+(ISNUMBER(SEARCH(","&amp;TEXT(A126,"00")&amp;",",Reservas!$G$2:$G$501)))+(ISNUMBER(SEARCH(","&amp;TEXT(A126,"000")&amp;",",Reservas!$G$2:$G$501)))&gt;0))</f>
        <v>0</v>
      </c>
      <c r="C126" s="27" t="str">
        <f aca="false">IF(B126&gt;1,"⚠ Número anotado en más de una reserva","")</f>
        <v/>
      </c>
    </row>
    <row r="127" customFormat="false" ht="15" hidden="false" customHeight="false" outlineLevel="0" collapsed="false">
      <c r="A127" s="13" t="n">
        <v>126</v>
      </c>
      <c r="B127" s="13" t="n">
        <f aca="false">SUMPRODUCT(--((ISNUMBER(SEARCH(","&amp;A127&amp;",",Reservas!$G$2:$G$501)))+(ISNUMBER(SEARCH(","&amp;TEXT(A127,"00")&amp;",",Reservas!$G$2:$G$501)))+(ISNUMBER(SEARCH(","&amp;TEXT(A127,"000")&amp;",",Reservas!$G$2:$G$501)))&gt;0))</f>
        <v>0</v>
      </c>
      <c r="C127" s="27" t="str">
        <f aca="false">IF(B127&gt;1,"⚠ Número anotado en más de una reserva","")</f>
        <v/>
      </c>
    </row>
    <row r="128" customFormat="false" ht="15" hidden="false" customHeight="false" outlineLevel="0" collapsed="false">
      <c r="A128" s="13" t="n">
        <v>127</v>
      </c>
      <c r="B128" s="13" t="n">
        <f aca="false">SUMPRODUCT(--((ISNUMBER(SEARCH(","&amp;A128&amp;",",Reservas!$G$2:$G$501)))+(ISNUMBER(SEARCH(","&amp;TEXT(A128,"00")&amp;",",Reservas!$G$2:$G$501)))+(ISNUMBER(SEARCH(","&amp;TEXT(A128,"000")&amp;",",Reservas!$G$2:$G$501)))&gt;0))</f>
        <v>0</v>
      </c>
      <c r="C128" s="27" t="str">
        <f aca="false">IF(B128&gt;1,"⚠ Número anotado en más de una reserva","")</f>
        <v/>
      </c>
    </row>
    <row r="129" customFormat="false" ht="15" hidden="false" customHeight="false" outlineLevel="0" collapsed="false">
      <c r="A129" s="13" t="n">
        <v>128</v>
      </c>
      <c r="B129" s="13" t="n">
        <f aca="false">SUMPRODUCT(--((ISNUMBER(SEARCH(","&amp;A129&amp;",",Reservas!$G$2:$G$501)))+(ISNUMBER(SEARCH(","&amp;TEXT(A129,"00")&amp;",",Reservas!$G$2:$G$501)))+(ISNUMBER(SEARCH(","&amp;TEXT(A129,"000")&amp;",",Reservas!$G$2:$G$501)))&gt;0))</f>
        <v>0</v>
      </c>
      <c r="C129" s="27" t="str">
        <f aca="false">IF(B129&gt;1,"⚠ Número anotado en más de una reserva","")</f>
        <v/>
      </c>
    </row>
    <row r="130" customFormat="false" ht="15" hidden="false" customHeight="false" outlineLevel="0" collapsed="false">
      <c r="A130" s="13" t="n">
        <v>129</v>
      </c>
      <c r="B130" s="13" t="n">
        <f aca="false">SUMPRODUCT(--((ISNUMBER(SEARCH(","&amp;A130&amp;",",Reservas!$G$2:$G$501)))+(ISNUMBER(SEARCH(","&amp;TEXT(A130,"00")&amp;",",Reservas!$G$2:$G$501)))+(ISNUMBER(SEARCH(","&amp;TEXT(A130,"000")&amp;",",Reservas!$G$2:$G$501)))&gt;0))</f>
        <v>0</v>
      </c>
      <c r="C130" s="27" t="str">
        <f aca="false">IF(B130&gt;1,"⚠ Número anotado en más de una reserva","")</f>
        <v/>
      </c>
    </row>
    <row r="131" customFormat="false" ht="15" hidden="false" customHeight="false" outlineLevel="0" collapsed="false">
      <c r="A131" s="13" t="n">
        <v>130</v>
      </c>
      <c r="B131" s="13" t="n">
        <f aca="false">SUMPRODUCT(--((ISNUMBER(SEARCH(","&amp;A131&amp;",",Reservas!$G$2:$G$501)))+(ISNUMBER(SEARCH(","&amp;TEXT(A131,"00")&amp;",",Reservas!$G$2:$G$501)))+(ISNUMBER(SEARCH(","&amp;TEXT(A131,"000")&amp;",",Reservas!$G$2:$G$501)))&gt;0))</f>
        <v>0</v>
      </c>
      <c r="C131" s="27" t="str">
        <f aca="false">IF(B131&gt;1,"⚠ Número anotado en más de una reserva","")</f>
        <v/>
      </c>
    </row>
    <row r="132" customFormat="false" ht="15" hidden="false" customHeight="false" outlineLevel="0" collapsed="false">
      <c r="A132" s="13" t="n">
        <v>131</v>
      </c>
      <c r="B132" s="13" t="n">
        <f aca="false">SUMPRODUCT(--((ISNUMBER(SEARCH(","&amp;A132&amp;",",Reservas!$G$2:$G$501)))+(ISNUMBER(SEARCH(","&amp;TEXT(A132,"00")&amp;",",Reservas!$G$2:$G$501)))+(ISNUMBER(SEARCH(","&amp;TEXT(A132,"000")&amp;",",Reservas!$G$2:$G$501)))&gt;0))</f>
        <v>0</v>
      </c>
      <c r="C132" s="27" t="str">
        <f aca="false">IF(B132&gt;1,"⚠ Número anotado en más de una reserva","")</f>
        <v/>
      </c>
    </row>
    <row r="133" customFormat="false" ht="15" hidden="false" customHeight="false" outlineLevel="0" collapsed="false">
      <c r="A133" s="13" t="n">
        <v>132</v>
      </c>
      <c r="B133" s="13" t="n">
        <f aca="false">SUMPRODUCT(--((ISNUMBER(SEARCH(","&amp;A133&amp;",",Reservas!$G$2:$G$501)))+(ISNUMBER(SEARCH(","&amp;TEXT(A133,"00")&amp;",",Reservas!$G$2:$G$501)))+(ISNUMBER(SEARCH(","&amp;TEXT(A133,"000")&amp;",",Reservas!$G$2:$G$501)))&gt;0))</f>
        <v>0</v>
      </c>
      <c r="C133" s="27" t="str">
        <f aca="false">IF(B133&gt;1,"⚠ Número anotado en más de una reserva","")</f>
        <v/>
      </c>
    </row>
    <row r="134" customFormat="false" ht="15" hidden="false" customHeight="false" outlineLevel="0" collapsed="false">
      <c r="A134" s="13" t="n">
        <v>133</v>
      </c>
      <c r="B134" s="13" t="n">
        <f aca="false">SUMPRODUCT(--((ISNUMBER(SEARCH(","&amp;A134&amp;",",Reservas!$G$2:$G$501)))+(ISNUMBER(SEARCH(","&amp;TEXT(A134,"00")&amp;",",Reservas!$G$2:$G$501)))+(ISNUMBER(SEARCH(","&amp;TEXT(A134,"000")&amp;",",Reservas!$G$2:$G$501)))&gt;0))</f>
        <v>0</v>
      </c>
      <c r="C134" s="27" t="str">
        <f aca="false">IF(B134&gt;1,"⚠ Número anotado en más de una reserva","")</f>
        <v/>
      </c>
    </row>
    <row r="135" customFormat="false" ht="15" hidden="false" customHeight="false" outlineLevel="0" collapsed="false">
      <c r="A135" s="13" t="n">
        <v>134</v>
      </c>
      <c r="B135" s="13" t="n">
        <f aca="false">SUMPRODUCT(--((ISNUMBER(SEARCH(","&amp;A135&amp;",",Reservas!$G$2:$G$501)))+(ISNUMBER(SEARCH(","&amp;TEXT(A135,"00")&amp;",",Reservas!$G$2:$G$501)))+(ISNUMBER(SEARCH(","&amp;TEXT(A135,"000")&amp;",",Reservas!$G$2:$G$501)))&gt;0))</f>
        <v>0</v>
      </c>
      <c r="C135" s="27" t="str">
        <f aca="false">IF(B135&gt;1,"⚠ Número anotado en más de una reserva","")</f>
        <v/>
      </c>
    </row>
    <row r="136" customFormat="false" ht="15" hidden="false" customHeight="false" outlineLevel="0" collapsed="false">
      <c r="A136" s="13" t="n">
        <v>135</v>
      </c>
      <c r="B136" s="13" t="n">
        <f aca="false">SUMPRODUCT(--((ISNUMBER(SEARCH(","&amp;A136&amp;",",Reservas!$G$2:$G$501)))+(ISNUMBER(SEARCH(","&amp;TEXT(A136,"00")&amp;",",Reservas!$G$2:$G$501)))+(ISNUMBER(SEARCH(","&amp;TEXT(A136,"000")&amp;",",Reservas!$G$2:$G$501)))&gt;0))</f>
        <v>0</v>
      </c>
      <c r="C136" s="27" t="str">
        <f aca="false">IF(B136&gt;1,"⚠ Número anotado en más de una reserva","")</f>
        <v/>
      </c>
    </row>
    <row r="137" customFormat="false" ht="15" hidden="false" customHeight="false" outlineLevel="0" collapsed="false">
      <c r="A137" s="13" t="n">
        <v>136</v>
      </c>
      <c r="B137" s="13" t="n">
        <f aca="false">SUMPRODUCT(--((ISNUMBER(SEARCH(","&amp;A137&amp;",",Reservas!$G$2:$G$501)))+(ISNUMBER(SEARCH(","&amp;TEXT(A137,"00")&amp;",",Reservas!$G$2:$G$501)))+(ISNUMBER(SEARCH(","&amp;TEXT(A137,"000")&amp;",",Reservas!$G$2:$G$501)))&gt;0))</f>
        <v>0</v>
      </c>
      <c r="C137" s="27" t="str">
        <f aca="false">IF(B137&gt;1,"⚠ Número anotado en más de una reserva","")</f>
        <v/>
      </c>
    </row>
    <row r="138" customFormat="false" ht="15" hidden="false" customHeight="false" outlineLevel="0" collapsed="false">
      <c r="A138" s="13" t="n">
        <v>137</v>
      </c>
      <c r="B138" s="13" t="n">
        <f aca="false">SUMPRODUCT(--((ISNUMBER(SEARCH(","&amp;A138&amp;",",Reservas!$G$2:$G$501)))+(ISNUMBER(SEARCH(","&amp;TEXT(A138,"00")&amp;",",Reservas!$G$2:$G$501)))+(ISNUMBER(SEARCH(","&amp;TEXT(A138,"000")&amp;",",Reservas!$G$2:$G$501)))&gt;0))</f>
        <v>0</v>
      </c>
      <c r="C138" s="27" t="str">
        <f aca="false">IF(B138&gt;1,"⚠ Número anotado en más de una reserva","")</f>
        <v/>
      </c>
    </row>
    <row r="139" customFormat="false" ht="15" hidden="false" customHeight="false" outlineLevel="0" collapsed="false">
      <c r="A139" s="13" t="n">
        <v>138</v>
      </c>
      <c r="B139" s="13" t="n">
        <f aca="false">SUMPRODUCT(--((ISNUMBER(SEARCH(","&amp;A139&amp;",",Reservas!$G$2:$G$501)))+(ISNUMBER(SEARCH(","&amp;TEXT(A139,"00")&amp;",",Reservas!$G$2:$G$501)))+(ISNUMBER(SEARCH(","&amp;TEXT(A139,"000")&amp;",",Reservas!$G$2:$G$501)))&gt;0))</f>
        <v>0</v>
      </c>
      <c r="C139" s="27" t="str">
        <f aca="false">IF(B139&gt;1,"⚠ Número anotado en más de una reserva","")</f>
        <v/>
      </c>
    </row>
    <row r="140" customFormat="false" ht="15" hidden="false" customHeight="false" outlineLevel="0" collapsed="false">
      <c r="A140" s="13" t="n">
        <v>139</v>
      </c>
      <c r="B140" s="13" t="n">
        <f aca="false">SUMPRODUCT(--((ISNUMBER(SEARCH(","&amp;A140&amp;",",Reservas!$G$2:$G$501)))+(ISNUMBER(SEARCH(","&amp;TEXT(A140,"00")&amp;",",Reservas!$G$2:$G$501)))+(ISNUMBER(SEARCH(","&amp;TEXT(A140,"000")&amp;",",Reservas!$G$2:$G$501)))&gt;0))</f>
        <v>0</v>
      </c>
      <c r="C140" s="27" t="str">
        <f aca="false">IF(B140&gt;1,"⚠ Número anotado en más de una reserva","")</f>
        <v/>
      </c>
    </row>
    <row r="141" customFormat="false" ht="15" hidden="false" customHeight="false" outlineLevel="0" collapsed="false">
      <c r="A141" s="13" t="n">
        <v>140</v>
      </c>
      <c r="B141" s="13" t="n">
        <f aca="false">SUMPRODUCT(--((ISNUMBER(SEARCH(","&amp;A141&amp;",",Reservas!$G$2:$G$501)))+(ISNUMBER(SEARCH(","&amp;TEXT(A141,"00")&amp;",",Reservas!$G$2:$G$501)))+(ISNUMBER(SEARCH(","&amp;TEXT(A141,"000")&amp;",",Reservas!$G$2:$G$501)))&gt;0))</f>
        <v>0</v>
      </c>
      <c r="C141" s="27" t="str">
        <f aca="false">IF(B141&gt;1,"⚠ Número anotado en más de una reserva","")</f>
        <v/>
      </c>
    </row>
    <row r="142" customFormat="false" ht="15" hidden="false" customHeight="false" outlineLevel="0" collapsed="false">
      <c r="A142" s="13" t="n">
        <v>141</v>
      </c>
      <c r="B142" s="13" t="n">
        <f aca="false">SUMPRODUCT(--((ISNUMBER(SEARCH(","&amp;A142&amp;",",Reservas!$G$2:$G$501)))+(ISNUMBER(SEARCH(","&amp;TEXT(A142,"00")&amp;",",Reservas!$G$2:$G$501)))+(ISNUMBER(SEARCH(","&amp;TEXT(A142,"000")&amp;",",Reservas!$G$2:$G$501)))&gt;0))</f>
        <v>0</v>
      </c>
      <c r="C142" s="27" t="str">
        <f aca="false">IF(B142&gt;1,"⚠ Número anotado en más de una reserva","")</f>
        <v/>
      </c>
    </row>
    <row r="143" customFormat="false" ht="15" hidden="false" customHeight="false" outlineLevel="0" collapsed="false">
      <c r="A143" s="13" t="n">
        <v>142</v>
      </c>
      <c r="B143" s="13" t="n">
        <f aca="false">SUMPRODUCT(--((ISNUMBER(SEARCH(","&amp;A143&amp;",",Reservas!$G$2:$G$501)))+(ISNUMBER(SEARCH(","&amp;TEXT(A143,"00")&amp;",",Reservas!$G$2:$G$501)))+(ISNUMBER(SEARCH(","&amp;TEXT(A143,"000")&amp;",",Reservas!$G$2:$G$501)))&gt;0))</f>
        <v>0</v>
      </c>
      <c r="C143" s="27" t="str">
        <f aca="false">IF(B143&gt;1,"⚠ Número anotado en más de una reserva","")</f>
        <v/>
      </c>
    </row>
    <row r="144" customFormat="false" ht="15" hidden="false" customHeight="false" outlineLevel="0" collapsed="false">
      <c r="A144" s="13" t="n">
        <v>143</v>
      </c>
      <c r="B144" s="13" t="n">
        <f aca="false">SUMPRODUCT(--((ISNUMBER(SEARCH(","&amp;A144&amp;",",Reservas!$G$2:$G$501)))+(ISNUMBER(SEARCH(","&amp;TEXT(A144,"00")&amp;",",Reservas!$G$2:$G$501)))+(ISNUMBER(SEARCH(","&amp;TEXT(A144,"000")&amp;",",Reservas!$G$2:$G$501)))&gt;0))</f>
        <v>0</v>
      </c>
      <c r="C144" s="27" t="str">
        <f aca="false">IF(B144&gt;1,"⚠ Número anotado en más de una reserva","")</f>
        <v/>
      </c>
    </row>
    <row r="145" customFormat="false" ht="15" hidden="false" customHeight="false" outlineLevel="0" collapsed="false">
      <c r="A145" s="13" t="n">
        <v>144</v>
      </c>
      <c r="B145" s="13" t="n">
        <f aca="false">SUMPRODUCT(--((ISNUMBER(SEARCH(","&amp;A145&amp;",",Reservas!$G$2:$G$501)))+(ISNUMBER(SEARCH(","&amp;TEXT(A145,"00")&amp;",",Reservas!$G$2:$G$501)))+(ISNUMBER(SEARCH(","&amp;TEXT(A145,"000")&amp;",",Reservas!$G$2:$G$501)))&gt;0))</f>
        <v>0</v>
      </c>
      <c r="C145" s="27" t="str">
        <f aca="false">IF(B145&gt;1,"⚠ Número anotado en más de una reserva","")</f>
        <v/>
      </c>
    </row>
    <row r="146" customFormat="false" ht="15" hidden="false" customHeight="false" outlineLevel="0" collapsed="false">
      <c r="A146" s="13" t="n">
        <v>145</v>
      </c>
      <c r="B146" s="13" t="n">
        <f aca="false">SUMPRODUCT(--((ISNUMBER(SEARCH(","&amp;A146&amp;",",Reservas!$G$2:$G$501)))+(ISNUMBER(SEARCH(","&amp;TEXT(A146,"00")&amp;",",Reservas!$G$2:$G$501)))+(ISNUMBER(SEARCH(","&amp;TEXT(A146,"000")&amp;",",Reservas!$G$2:$G$501)))&gt;0))</f>
        <v>0</v>
      </c>
      <c r="C146" s="27" t="str">
        <f aca="false">IF(B146&gt;1,"⚠ Número anotado en más de una reserva","")</f>
        <v/>
      </c>
    </row>
    <row r="147" customFormat="false" ht="15" hidden="false" customHeight="false" outlineLevel="0" collapsed="false">
      <c r="A147" s="13" t="n">
        <v>146</v>
      </c>
      <c r="B147" s="13" t="n">
        <f aca="false">SUMPRODUCT(--((ISNUMBER(SEARCH(","&amp;A147&amp;",",Reservas!$G$2:$G$501)))+(ISNUMBER(SEARCH(","&amp;TEXT(A147,"00")&amp;",",Reservas!$G$2:$G$501)))+(ISNUMBER(SEARCH(","&amp;TEXT(A147,"000")&amp;",",Reservas!$G$2:$G$501)))&gt;0))</f>
        <v>0</v>
      </c>
      <c r="C147" s="27" t="str">
        <f aca="false">IF(B147&gt;1,"⚠ Número anotado en más de una reserva","")</f>
        <v/>
      </c>
    </row>
    <row r="148" customFormat="false" ht="15" hidden="false" customHeight="false" outlineLevel="0" collapsed="false">
      <c r="A148" s="13" t="n">
        <v>147</v>
      </c>
      <c r="B148" s="13" t="n">
        <f aca="false">SUMPRODUCT(--((ISNUMBER(SEARCH(","&amp;A148&amp;",",Reservas!$G$2:$G$501)))+(ISNUMBER(SEARCH(","&amp;TEXT(A148,"00")&amp;",",Reservas!$G$2:$G$501)))+(ISNUMBER(SEARCH(","&amp;TEXT(A148,"000")&amp;",",Reservas!$G$2:$G$501)))&gt;0))</f>
        <v>0</v>
      </c>
      <c r="C148" s="27" t="str">
        <f aca="false">IF(B148&gt;1,"⚠ Número anotado en más de una reserva","")</f>
        <v/>
      </c>
    </row>
    <row r="149" customFormat="false" ht="15" hidden="false" customHeight="false" outlineLevel="0" collapsed="false">
      <c r="A149" s="13" t="n">
        <v>148</v>
      </c>
      <c r="B149" s="13" t="n">
        <f aca="false">SUMPRODUCT(--((ISNUMBER(SEARCH(","&amp;A149&amp;",",Reservas!$G$2:$G$501)))+(ISNUMBER(SEARCH(","&amp;TEXT(A149,"00")&amp;",",Reservas!$G$2:$G$501)))+(ISNUMBER(SEARCH(","&amp;TEXT(A149,"000")&amp;",",Reservas!$G$2:$G$501)))&gt;0))</f>
        <v>0</v>
      </c>
      <c r="C149" s="27" t="str">
        <f aca="false">IF(B149&gt;1,"⚠ Número anotado en más de una reserva","")</f>
        <v/>
      </c>
    </row>
    <row r="150" customFormat="false" ht="15" hidden="false" customHeight="false" outlineLevel="0" collapsed="false">
      <c r="A150" s="13" t="n">
        <v>149</v>
      </c>
      <c r="B150" s="13" t="n">
        <f aca="false">SUMPRODUCT(--((ISNUMBER(SEARCH(","&amp;A150&amp;",",Reservas!$G$2:$G$501)))+(ISNUMBER(SEARCH(","&amp;TEXT(A150,"00")&amp;",",Reservas!$G$2:$G$501)))+(ISNUMBER(SEARCH(","&amp;TEXT(A150,"000")&amp;",",Reservas!$G$2:$G$501)))&gt;0))</f>
        <v>0</v>
      </c>
      <c r="C150" s="27" t="str">
        <f aca="false">IF(B150&gt;1,"⚠ Número anotado en más de una reserva","")</f>
        <v/>
      </c>
    </row>
    <row r="151" customFormat="false" ht="15" hidden="false" customHeight="false" outlineLevel="0" collapsed="false">
      <c r="A151" s="13" t="n">
        <v>150</v>
      </c>
      <c r="B151" s="13" t="n">
        <f aca="false">SUMPRODUCT(--((ISNUMBER(SEARCH(","&amp;A151&amp;",",Reservas!$G$2:$G$501)))+(ISNUMBER(SEARCH(","&amp;TEXT(A151,"00")&amp;",",Reservas!$G$2:$G$501)))+(ISNUMBER(SEARCH(","&amp;TEXT(A151,"000")&amp;",",Reservas!$G$2:$G$501)))&gt;0))</f>
        <v>0</v>
      </c>
      <c r="C151" s="27" t="str">
        <f aca="false">IF(B151&gt;1,"⚠ Número anotado en más de una reserva","")</f>
        <v/>
      </c>
    </row>
    <row r="152" customFormat="false" ht="15" hidden="false" customHeight="false" outlineLevel="0" collapsed="false">
      <c r="A152" s="13" t="n">
        <v>151</v>
      </c>
      <c r="B152" s="13" t="n">
        <f aca="false">SUMPRODUCT(--((ISNUMBER(SEARCH(","&amp;A152&amp;",",Reservas!$G$2:$G$501)))+(ISNUMBER(SEARCH(","&amp;TEXT(A152,"00")&amp;",",Reservas!$G$2:$G$501)))+(ISNUMBER(SEARCH(","&amp;TEXT(A152,"000")&amp;",",Reservas!$G$2:$G$501)))&gt;0))</f>
        <v>0</v>
      </c>
      <c r="C152" s="27" t="str">
        <f aca="false">IF(B152&gt;1,"⚠ Número anotado en más de una reserva","")</f>
        <v/>
      </c>
    </row>
    <row r="153" customFormat="false" ht="15" hidden="false" customHeight="false" outlineLevel="0" collapsed="false">
      <c r="A153" s="13" t="n">
        <v>152</v>
      </c>
      <c r="B153" s="13" t="n">
        <f aca="false">SUMPRODUCT(--((ISNUMBER(SEARCH(","&amp;A153&amp;",",Reservas!$G$2:$G$501)))+(ISNUMBER(SEARCH(","&amp;TEXT(A153,"00")&amp;",",Reservas!$G$2:$G$501)))+(ISNUMBER(SEARCH(","&amp;TEXT(A153,"000")&amp;",",Reservas!$G$2:$G$501)))&gt;0))</f>
        <v>0</v>
      </c>
      <c r="C153" s="27" t="str">
        <f aca="false">IF(B153&gt;1,"⚠ Número anotado en más de una reserva","")</f>
        <v/>
      </c>
    </row>
    <row r="154" customFormat="false" ht="15" hidden="false" customHeight="false" outlineLevel="0" collapsed="false">
      <c r="A154" s="13" t="n">
        <v>153</v>
      </c>
      <c r="B154" s="13" t="n">
        <f aca="false">SUMPRODUCT(--((ISNUMBER(SEARCH(","&amp;A154&amp;",",Reservas!$G$2:$G$501)))+(ISNUMBER(SEARCH(","&amp;TEXT(A154,"00")&amp;",",Reservas!$G$2:$G$501)))+(ISNUMBER(SEARCH(","&amp;TEXT(A154,"000")&amp;",",Reservas!$G$2:$G$501)))&gt;0))</f>
        <v>0</v>
      </c>
      <c r="C154" s="27" t="str">
        <f aca="false">IF(B154&gt;1,"⚠ Número anotado en más de una reserva","")</f>
        <v/>
      </c>
    </row>
    <row r="155" customFormat="false" ht="15" hidden="false" customHeight="false" outlineLevel="0" collapsed="false">
      <c r="A155" s="13" t="n">
        <v>154</v>
      </c>
      <c r="B155" s="13" t="n">
        <f aca="false">SUMPRODUCT(--((ISNUMBER(SEARCH(","&amp;A155&amp;",",Reservas!$G$2:$G$501)))+(ISNUMBER(SEARCH(","&amp;TEXT(A155,"00")&amp;",",Reservas!$G$2:$G$501)))+(ISNUMBER(SEARCH(","&amp;TEXT(A155,"000")&amp;",",Reservas!$G$2:$G$501)))&gt;0))</f>
        <v>0</v>
      </c>
      <c r="C155" s="27" t="str">
        <f aca="false">IF(B155&gt;1,"⚠ Número anotado en más de una reserva","")</f>
        <v/>
      </c>
    </row>
    <row r="156" customFormat="false" ht="15" hidden="false" customHeight="false" outlineLevel="0" collapsed="false">
      <c r="A156" s="13" t="n">
        <v>155</v>
      </c>
      <c r="B156" s="13" t="n">
        <f aca="false">SUMPRODUCT(--((ISNUMBER(SEARCH(","&amp;A156&amp;",",Reservas!$G$2:$G$501)))+(ISNUMBER(SEARCH(","&amp;TEXT(A156,"00")&amp;",",Reservas!$G$2:$G$501)))+(ISNUMBER(SEARCH(","&amp;TEXT(A156,"000")&amp;",",Reservas!$G$2:$G$501)))&gt;0))</f>
        <v>0</v>
      </c>
      <c r="C156" s="27" t="str">
        <f aca="false">IF(B156&gt;1,"⚠ Número anotado en más de una reserva","")</f>
        <v/>
      </c>
    </row>
    <row r="157" customFormat="false" ht="15" hidden="false" customHeight="false" outlineLevel="0" collapsed="false">
      <c r="A157" s="13" t="n">
        <v>156</v>
      </c>
      <c r="B157" s="13" t="n">
        <f aca="false">SUMPRODUCT(--((ISNUMBER(SEARCH(","&amp;A157&amp;",",Reservas!$G$2:$G$501)))+(ISNUMBER(SEARCH(","&amp;TEXT(A157,"00")&amp;",",Reservas!$G$2:$G$501)))+(ISNUMBER(SEARCH(","&amp;TEXT(A157,"000")&amp;",",Reservas!$G$2:$G$501)))&gt;0))</f>
        <v>0</v>
      </c>
      <c r="C157" s="27" t="str">
        <f aca="false">IF(B157&gt;1,"⚠ Número anotado en más de una reserva","")</f>
        <v/>
      </c>
    </row>
    <row r="158" customFormat="false" ht="15" hidden="false" customHeight="false" outlineLevel="0" collapsed="false">
      <c r="A158" s="13" t="n">
        <v>157</v>
      </c>
      <c r="B158" s="13" t="n">
        <f aca="false">SUMPRODUCT(--((ISNUMBER(SEARCH(","&amp;A158&amp;",",Reservas!$G$2:$G$501)))+(ISNUMBER(SEARCH(","&amp;TEXT(A158,"00")&amp;",",Reservas!$G$2:$G$501)))+(ISNUMBER(SEARCH(","&amp;TEXT(A158,"000")&amp;",",Reservas!$G$2:$G$501)))&gt;0))</f>
        <v>0</v>
      </c>
      <c r="C158" s="27" t="str">
        <f aca="false">IF(B158&gt;1,"⚠ Número anotado en más de una reserva","")</f>
        <v/>
      </c>
    </row>
    <row r="159" customFormat="false" ht="15" hidden="false" customHeight="false" outlineLevel="0" collapsed="false">
      <c r="A159" s="13" t="n">
        <v>158</v>
      </c>
      <c r="B159" s="13" t="n">
        <f aca="false">SUMPRODUCT(--((ISNUMBER(SEARCH(","&amp;A159&amp;",",Reservas!$G$2:$G$501)))+(ISNUMBER(SEARCH(","&amp;TEXT(A159,"00")&amp;",",Reservas!$G$2:$G$501)))+(ISNUMBER(SEARCH(","&amp;TEXT(A159,"000")&amp;",",Reservas!$G$2:$G$501)))&gt;0))</f>
        <v>0</v>
      </c>
      <c r="C159" s="27" t="str">
        <f aca="false">IF(B159&gt;1,"⚠ Número anotado en más de una reserva","")</f>
        <v/>
      </c>
    </row>
    <row r="160" customFormat="false" ht="15" hidden="false" customHeight="false" outlineLevel="0" collapsed="false">
      <c r="A160" s="13" t="n">
        <v>159</v>
      </c>
      <c r="B160" s="13" t="n">
        <f aca="false">SUMPRODUCT(--((ISNUMBER(SEARCH(","&amp;A160&amp;",",Reservas!$G$2:$G$501)))+(ISNUMBER(SEARCH(","&amp;TEXT(A160,"00")&amp;",",Reservas!$G$2:$G$501)))+(ISNUMBER(SEARCH(","&amp;TEXT(A160,"000")&amp;",",Reservas!$G$2:$G$501)))&gt;0))</f>
        <v>0</v>
      </c>
      <c r="C160" s="27" t="str">
        <f aca="false">IF(B160&gt;1,"⚠ Número anotado en más de una reserva","")</f>
        <v/>
      </c>
    </row>
    <row r="161" customFormat="false" ht="15" hidden="false" customHeight="false" outlineLevel="0" collapsed="false">
      <c r="A161" s="13" t="n">
        <v>160</v>
      </c>
      <c r="B161" s="13" t="n">
        <f aca="false">SUMPRODUCT(--((ISNUMBER(SEARCH(","&amp;A161&amp;",",Reservas!$G$2:$G$501)))+(ISNUMBER(SEARCH(","&amp;TEXT(A161,"00")&amp;",",Reservas!$G$2:$G$501)))+(ISNUMBER(SEARCH(","&amp;TEXT(A161,"000")&amp;",",Reservas!$G$2:$G$501)))&gt;0))</f>
        <v>0</v>
      </c>
      <c r="C161" s="27" t="str">
        <f aca="false">IF(B161&gt;1,"⚠ Número anotado en más de una reserva","")</f>
        <v/>
      </c>
    </row>
    <row r="162" customFormat="false" ht="15" hidden="false" customHeight="false" outlineLevel="0" collapsed="false">
      <c r="A162" s="13" t="n">
        <v>161</v>
      </c>
      <c r="B162" s="13" t="n">
        <f aca="false">SUMPRODUCT(--((ISNUMBER(SEARCH(","&amp;A162&amp;",",Reservas!$G$2:$G$501)))+(ISNUMBER(SEARCH(","&amp;TEXT(A162,"00")&amp;",",Reservas!$G$2:$G$501)))+(ISNUMBER(SEARCH(","&amp;TEXT(A162,"000")&amp;",",Reservas!$G$2:$G$501)))&gt;0))</f>
        <v>0</v>
      </c>
      <c r="C162" s="27" t="str">
        <f aca="false">IF(B162&gt;1,"⚠ Número anotado en más de una reserva","")</f>
        <v/>
      </c>
    </row>
    <row r="163" customFormat="false" ht="15" hidden="false" customHeight="false" outlineLevel="0" collapsed="false">
      <c r="A163" s="13" t="n">
        <v>162</v>
      </c>
      <c r="B163" s="13" t="n">
        <f aca="false">SUMPRODUCT(--((ISNUMBER(SEARCH(","&amp;A163&amp;",",Reservas!$G$2:$G$501)))+(ISNUMBER(SEARCH(","&amp;TEXT(A163,"00")&amp;",",Reservas!$G$2:$G$501)))+(ISNUMBER(SEARCH(","&amp;TEXT(A163,"000")&amp;",",Reservas!$G$2:$G$501)))&gt;0))</f>
        <v>0</v>
      </c>
      <c r="C163" s="27" t="str">
        <f aca="false">IF(B163&gt;1,"⚠ Número anotado en más de una reserva","")</f>
        <v/>
      </c>
    </row>
    <row r="164" customFormat="false" ht="15" hidden="false" customHeight="false" outlineLevel="0" collapsed="false">
      <c r="A164" s="13" t="n">
        <v>163</v>
      </c>
      <c r="B164" s="13" t="n">
        <f aca="false">SUMPRODUCT(--((ISNUMBER(SEARCH(","&amp;A164&amp;",",Reservas!$G$2:$G$501)))+(ISNUMBER(SEARCH(","&amp;TEXT(A164,"00")&amp;",",Reservas!$G$2:$G$501)))+(ISNUMBER(SEARCH(","&amp;TEXT(A164,"000")&amp;",",Reservas!$G$2:$G$501)))&gt;0))</f>
        <v>0</v>
      </c>
      <c r="C164" s="27" t="str">
        <f aca="false">IF(B164&gt;1,"⚠ Número anotado en más de una reserva","")</f>
        <v/>
      </c>
    </row>
    <row r="165" customFormat="false" ht="15" hidden="false" customHeight="false" outlineLevel="0" collapsed="false">
      <c r="A165" s="13" t="n">
        <v>164</v>
      </c>
      <c r="B165" s="13" t="n">
        <f aca="false">SUMPRODUCT(--((ISNUMBER(SEARCH(","&amp;A165&amp;",",Reservas!$G$2:$G$501)))+(ISNUMBER(SEARCH(","&amp;TEXT(A165,"00")&amp;",",Reservas!$G$2:$G$501)))+(ISNUMBER(SEARCH(","&amp;TEXT(A165,"000")&amp;",",Reservas!$G$2:$G$501)))&gt;0))</f>
        <v>0</v>
      </c>
      <c r="C165" s="27" t="str">
        <f aca="false">IF(B165&gt;1,"⚠ Número anotado en más de una reserva","")</f>
        <v/>
      </c>
    </row>
    <row r="166" customFormat="false" ht="15" hidden="false" customHeight="false" outlineLevel="0" collapsed="false">
      <c r="A166" s="13" t="n">
        <v>165</v>
      </c>
      <c r="B166" s="13" t="n">
        <f aca="false">SUMPRODUCT(--((ISNUMBER(SEARCH(","&amp;A166&amp;",",Reservas!$G$2:$G$501)))+(ISNUMBER(SEARCH(","&amp;TEXT(A166,"00")&amp;",",Reservas!$G$2:$G$501)))+(ISNUMBER(SEARCH(","&amp;TEXT(A166,"000")&amp;",",Reservas!$G$2:$G$501)))&gt;0))</f>
        <v>0</v>
      </c>
      <c r="C166" s="27" t="str">
        <f aca="false">IF(B166&gt;1,"⚠ Número anotado en más de una reserva","")</f>
        <v/>
      </c>
    </row>
    <row r="167" customFormat="false" ht="15" hidden="false" customHeight="false" outlineLevel="0" collapsed="false">
      <c r="A167" s="13" t="n">
        <v>166</v>
      </c>
      <c r="B167" s="13" t="n">
        <f aca="false">SUMPRODUCT(--((ISNUMBER(SEARCH(","&amp;A167&amp;",",Reservas!$G$2:$G$501)))+(ISNUMBER(SEARCH(","&amp;TEXT(A167,"00")&amp;",",Reservas!$G$2:$G$501)))+(ISNUMBER(SEARCH(","&amp;TEXT(A167,"000")&amp;",",Reservas!$G$2:$G$501)))&gt;0))</f>
        <v>0</v>
      </c>
      <c r="C167" s="27" t="str">
        <f aca="false">IF(B167&gt;1,"⚠ Número anotado en más de una reserva","")</f>
        <v/>
      </c>
    </row>
    <row r="168" customFormat="false" ht="15" hidden="false" customHeight="false" outlineLevel="0" collapsed="false">
      <c r="A168" s="13" t="n">
        <v>167</v>
      </c>
      <c r="B168" s="13" t="n">
        <f aca="false">SUMPRODUCT(--((ISNUMBER(SEARCH(","&amp;A168&amp;",",Reservas!$G$2:$G$501)))+(ISNUMBER(SEARCH(","&amp;TEXT(A168,"00")&amp;",",Reservas!$G$2:$G$501)))+(ISNUMBER(SEARCH(","&amp;TEXT(A168,"000")&amp;",",Reservas!$G$2:$G$501)))&gt;0))</f>
        <v>0</v>
      </c>
      <c r="C168" s="27" t="str">
        <f aca="false">IF(B168&gt;1,"⚠ Número anotado en más de una reserva","")</f>
        <v/>
      </c>
    </row>
    <row r="169" customFormat="false" ht="15" hidden="false" customHeight="false" outlineLevel="0" collapsed="false">
      <c r="A169" s="13" t="n">
        <v>168</v>
      </c>
      <c r="B169" s="13" t="n">
        <f aca="false">SUMPRODUCT(--((ISNUMBER(SEARCH(","&amp;A169&amp;",",Reservas!$G$2:$G$501)))+(ISNUMBER(SEARCH(","&amp;TEXT(A169,"00")&amp;",",Reservas!$G$2:$G$501)))+(ISNUMBER(SEARCH(","&amp;TEXT(A169,"000")&amp;",",Reservas!$G$2:$G$501)))&gt;0))</f>
        <v>0</v>
      </c>
      <c r="C169" s="27" t="str">
        <f aca="false">IF(B169&gt;1,"⚠ Número anotado en más de una reserva","")</f>
        <v/>
      </c>
    </row>
    <row r="170" customFormat="false" ht="15" hidden="false" customHeight="false" outlineLevel="0" collapsed="false">
      <c r="A170" s="13" t="n">
        <v>169</v>
      </c>
      <c r="B170" s="13" t="n">
        <f aca="false">SUMPRODUCT(--((ISNUMBER(SEARCH(","&amp;A170&amp;",",Reservas!$G$2:$G$501)))+(ISNUMBER(SEARCH(","&amp;TEXT(A170,"00")&amp;",",Reservas!$G$2:$G$501)))+(ISNUMBER(SEARCH(","&amp;TEXT(A170,"000")&amp;",",Reservas!$G$2:$G$501)))&gt;0))</f>
        <v>0</v>
      </c>
      <c r="C170" s="27" t="str">
        <f aca="false">IF(B170&gt;1,"⚠ Número anotado en más de una reserva","")</f>
        <v/>
      </c>
    </row>
    <row r="171" customFormat="false" ht="15" hidden="false" customHeight="false" outlineLevel="0" collapsed="false">
      <c r="A171" s="13" t="n">
        <v>170</v>
      </c>
      <c r="B171" s="13" t="n">
        <f aca="false">SUMPRODUCT(--((ISNUMBER(SEARCH(","&amp;A171&amp;",",Reservas!$G$2:$G$501)))+(ISNUMBER(SEARCH(","&amp;TEXT(A171,"00")&amp;",",Reservas!$G$2:$G$501)))+(ISNUMBER(SEARCH(","&amp;TEXT(A171,"000")&amp;",",Reservas!$G$2:$G$501)))&gt;0))</f>
        <v>0</v>
      </c>
      <c r="C171" s="27" t="str">
        <f aca="false">IF(B171&gt;1,"⚠ Número anotado en más de una reserva","")</f>
        <v/>
      </c>
    </row>
    <row r="172" customFormat="false" ht="15" hidden="false" customHeight="false" outlineLevel="0" collapsed="false">
      <c r="A172" s="13" t="n">
        <v>171</v>
      </c>
      <c r="B172" s="13" t="n">
        <f aca="false">SUMPRODUCT(--((ISNUMBER(SEARCH(","&amp;A172&amp;",",Reservas!$G$2:$G$501)))+(ISNUMBER(SEARCH(","&amp;TEXT(A172,"00")&amp;",",Reservas!$G$2:$G$501)))+(ISNUMBER(SEARCH(","&amp;TEXT(A172,"000")&amp;",",Reservas!$G$2:$G$501)))&gt;0))</f>
        <v>0</v>
      </c>
      <c r="C172" s="27" t="str">
        <f aca="false">IF(B172&gt;1,"⚠ Número anotado en más de una reserva","")</f>
        <v/>
      </c>
    </row>
    <row r="173" customFormat="false" ht="15" hidden="false" customHeight="false" outlineLevel="0" collapsed="false">
      <c r="A173" s="13" t="n">
        <v>172</v>
      </c>
      <c r="B173" s="13" t="n">
        <f aca="false">SUMPRODUCT(--((ISNUMBER(SEARCH(","&amp;A173&amp;",",Reservas!$G$2:$G$501)))+(ISNUMBER(SEARCH(","&amp;TEXT(A173,"00")&amp;",",Reservas!$G$2:$G$501)))+(ISNUMBER(SEARCH(","&amp;TEXT(A173,"000")&amp;",",Reservas!$G$2:$G$501)))&gt;0))</f>
        <v>0</v>
      </c>
      <c r="C173" s="27" t="str">
        <f aca="false">IF(B173&gt;1,"⚠ Número anotado en más de una reserva","")</f>
        <v/>
      </c>
    </row>
    <row r="174" customFormat="false" ht="15" hidden="false" customHeight="false" outlineLevel="0" collapsed="false">
      <c r="A174" s="13" t="n">
        <v>173</v>
      </c>
      <c r="B174" s="13" t="n">
        <f aca="false">SUMPRODUCT(--((ISNUMBER(SEARCH(","&amp;A174&amp;",",Reservas!$G$2:$G$501)))+(ISNUMBER(SEARCH(","&amp;TEXT(A174,"00")&amp;",",Reservas!$G$2:$G$501)))+(ISNUMBER(SEARCH(","&amp;TEXT(A174,"000")&amp;",",Reservas!$G$2:$G$501)))&gt;0))</f>
        <v>0</v>
      </c>
      <c r="C174" s="27" t="str">
        <f aca="false">IF(B174&gt;1,"⚠ Número anotado en más de una reserva","")</f>
        <v/>
      </c>
    </row>
    <row r="175" customFormat="false" ht="15" hidden="false" customHeight="false" outlineLevel="0" collapsed="false">
      <c r="A175" s="13" t="n">
        <v>174</v>
      </c>
      <c r="B175" s="13" t="n">
        <f aca="false">SUMPRODUCT(--((ISNUMBER(SEARCH(","&amp;A175&amp;",",Reservas!$G$2:$G$501)))+(ISNUMBER(SEARCH(","&amp;TEXT(A175,"00")&amp;",",Reservas!$G$2:$G$501)))+(ISNUMBER(SEARCH(","&amp;TEXT(A175,"000")&amp;",",Reservas!$G$2:$G$501)))&gt;0))</f>
        <v>0</v>
      </c>
      <c r="C175" s="27" t="str">
        <f aca="false">IF(B175&gt;1,"⚠ Número anotado en más de una reserva","")</f>
        <v/>
      </c>
    </row>
    <row r="176" customFormat="false" ht="15" hidden="false" customHeight="false" outlineLevel="0" collapsed="false">
      <c r="A176" s="13" t="n">
        <v>175</v>
      </c>
      <c r="B176" s="13" t="n">
        <f aca="false">SUMPRODUCT(--((ISNUMBER(SEARCH(","&amp;A176&amp;",",Reservas!$G$2:$G$501)))+(ISNUMBER(SEARCH(","&amp;TEXT(A176,"00")&amp;",",Reservas!$G$2:$G$501)))+(ISNUMBER(SEARCH(","&amp;TEXT(A176,"000")&amp;",",Reservas!$G$2:$G$501)))&gt;0))</f>
        <v>0</v>
      </c>
      <c r="C176" s="27" t="str">
        <f aca="false">IF(B176&gt;1,"⚠ Número anotado en más de una reserva","")</f>
        <v/>
      </c>
    </row>
    <row r="177" customFormat="false" ht="15" hidden="false" customHeight="false" outlineLevel="0" collapsed="false">
      <c r="A177" s="13" t="n">
        <v>176</v>
      </c>
      <c r="B177" s="13" t="n">
        <f aca="false">SUMPRODUCT(--((ISNUMBER(SEARCH(","&amp;A177&amp;",",Reservas!$G$2:$G$501)))+(ISNUMBER(SEARCH(","&amp;TEXT(A177,"00")&amp;",",Reservas!$G$2:$G$501)))+(ISNUMBER(SEARCH(","&amp;TEXT(A177,"000")&amp;",",Reservas!$G$2:$G$501)))&gt;0))</f>
        <v>0</v>
      </c>
      <c r="C177" s="27" t="str">
        <f aca="false">IF(B177&gt;1,"⚠ Número anotado en más de una reserva","")</f>
        <v/>
      </c>
    </row>
    <row r="178" customFormat="false" ht="15" hidden="false" customHeight="false" outlineLevel="0" collapsed="false">
      <c r="A178" s="13" t="n">
        <v>177</v>
      </c>
      <c r="B178" s="13" t="n">
        <f aca="false">SUMPRODUCT(--((ISNUMBER(SEARCH(","&amp;A178&amp;",",Reservas!$G$2:$G$501)))+(ISNUMBER(SEARCH(","&amp;TEXT(A178,"00")&amp;",",Reservas!$G$2:$G$501)))+(ISNUMBER(SEARCH(","&amp;TEXT(A178,"000")&amp;",",Reservas!$G$2:$G$501)))&gt;0))</f>
        <v>1</v>
      </c>
      <c r="C178" s="27" t="str">
        <f aca="false">IF(B178&gt;1,"⚠ Número anotado en más de una reserva","")</f>
        <v/>
      </c>
    </row>
    <row r="179" customFormat="false" ht="15" hidden="false" customHeight="false" outlineLevel="0" collapsed="false">
      <c r="A179" s="13" t="n">
        <v>178</v>
      </c>
      <c r="B179" s="13" t="n">
        <f aca="false">SUMPRODUCT(--((ISNUMBER(SEARCH(","&amp;A179&amp;",",Reservas!$G$2:$G$501)))+(ISNUMBER(SEARCH(","&amp;TEXT(A179,"00")&amp;",",Reservas!$G$2:$G$501)))+(ISNUMBER(SEARCH(","&amp;TEXT(A179,"000")&amp;",",Reservas!$G$2:$G$501)))&gt;0))</f>
        <v>0</v>
      </c>
      <c r="C179" s="27" t="str">
        <f aca="false">IF(B179&gt;1,"⚠ Número anotado en más de una reserva","")</f>
        <v/>
      </c>
    </row>
    <row r="180" customFormat="false" ht="15" hidden="false" customHeight="false" outlineLevel="0" collapsed="false">
      <c r="A180" s="13" t="n">
        <v>179</v>
      </c>
      <c r="B180" s="13" t="n">
        <f aca="false">SUMPRODUCT(--((ISNUMBER(SEARCH(","&amp;A180&amp;",",Reservas!$G$2:$G$501)))+(ISNUMBER(SEARCH(","&amp;TEXT(A180,"00")&amp;",",Reservas!$G$2:$G$501)))+(ISNUMBER(SEARCH(","&amp;TEXT(A180,"000")&amp;",",Reservas!$G$2:$G$501)))&gt;0))</f>
        <v>0</v>
      </c>
      <c r="C180" s="27" t="str">
        <f aca="false">IF(B180&gt;1,"⚠ Número anotado en más de una reserva","")</f>
        <v/>
      </c>
    </row>
    <row r="181" customFormat="false" ht="15" hidden="false" customHeight="false" outlineLevel="0" collapsed="false">
      <c r="A181" s="13" t="n">
        <v>180</v>
      </c>
      <c r="B181" s="13" t="n">
        <f aca="false">SUMPRODUCT(--((ISNUMBER(SEARCH(","&amp;A181&amp;",",Reservas!$G$2:$G$501)))+(ISNUMBER(SEARCH(","&amp;TEXT(A181,"00")&amp;",",Reservas!$G$2:$G$501)))+(ISNUMBER(SEARCH(","&amp;TEXT(A181,"000")&amp;",",Reservas!$G$2:$G$501)))&gt;0))</f>
        <v>0</v>
      </c>
      <c r="C181" s="27" t="str">
        <f aca="false">IF(B181&gt;1,"⚠ Número anotado en más de una reserva","")</f>
        <v/>
      </c>
    </row>
    <row r="182" customFormat="false" ht="15" hidden="false" customHeight="false" outlineLevel="0" collapsed="false">
      <c r="A182" s="13" t="n">
        <v>181</v>
      </c>
      <c r="B182" s="13" t="n">
        <f aca="false">SUMPRODUCT(--((ISNUMBER(SEARCH(","&amp;A182&amp;",",Reservas!$G$2:$G$501)))+(ISNUMBER(SEARCH(","&amp;TEXT(A182,"00")&amp;",",Reservas!$G$2:$G$501)))+(ISNUMBER(SEARCH(","&amp;TEXT(A182,"000")&amp;",",Reservas!$G$2:$G$501)))&gt;0))</f>
        <v>0</v>
      </c>
      <c r="C182" s="27" t="str">
        <f aca="false">IF(B182&gt;1,"⚠ Número anotado en más de una reserva","")</f>
        <v/>
      </c>
    </row>
    <row r="183" customFormat="false" ht="15" hidden="false" customHeight="false" outlineLevel="0" collapsed="false">
      <c r="A183" s="13" t="n">
        <v>182</v>
      </c>
      <c r="B183" s="13" t="n">
        <f aca="false">SUMPRODUCT(--((ISNUMBER(SEARCH(","&amp;A183&amp;",",Reservas!$G$2:$G$501)))+(ISNUMBER(SEARCH(","&amp;TEXT(A183,"00")&amp;",",Reservas!$G$2:$G$501)))+(ISNUMBER(SEARCH(","&amp;TEXT(A183,"000")&amp;",",Reservas!$G$2:$G$501)))&gt;0))</f>
        <v>0</v>
      </c>
      <c r="C183" s="27" t="str">
        <f aca="false">IF(B183&gt;1,"⚠ Número anotado en más de una reserva","")</f>
        <v/>
      </c>
    </row>
    <row r="184" customFormat="false" ht="15" hidden="false" customHeight="false" outlineLevel="0" collapsed="false">
      <c r="A184" s="13" t="n">
        <v>183</v>
      </c>
      <c r="B184" s="13" t="n">
        <f aca="false">SUMPRODUCT(--((ISNUMBER(SEARCH(","&amp;A184&amp;",",Reservas!$G$2:$G$501)))+(ISNUMBER(SEARCH(","&amp;TEXT(A184,"00")&amp;",",Reservas!$G$2:$G$501)))+(ISNUMBER(SEARCH(","&amp;TEXT(A184,"000")&amp;",",Reservas!$G$2:$G$501)))&gt;0))</f>
        <v>0</v>
      </c>
      <c r="C184" s="27" t="str">
        <f aca="false">IF(B184&gt;1,"⚠ Número anotado en más de una reserva","")</f>
        <v/>
      </c>
    </row>
    <row r="185" customFormat="false" ht="15" hidden="false" customHeight="false" outlineLevel="0" collapsed="false">
      <c r="A185" s="13" t="n">
        <v>184</v>
      </c>
      <c r="B185" s="13" t="n">
        <f aca="false">SUMPRODUCT(--((ISNUMBER(SEARCH(","&amp;A185&amp;",",Reservas!$G$2:$G$501)))+(ISNUMBER(SEARCH(","&amp;TEXT(A185,"00")&amp;",",Reservas!$G$2:$G$501)))+(ISNUMBER(SEARCH(","&amp;TEXT(A185,"000")&amp;",",Reservas!$G$2:$G$501)))&gt;0))</f>
        <v>0</v>
      </c>
      <c r="C185" s="27" t="str">
        <f aca="false">IF(B185&gt;1,"⚠ Número anotado en más de una reserva","")</f>
        <v/>
      </c>
    </row>
    <row r="186" customFormat="false" ht="15" hidden="false" customHeight="false" outlineLevel="0" collapsed="false">
      <c r="A186" s="13" t="n">
        <v>185</v>
      </c>
      <c r="B186" s="13" t="n">
        <f aca="false">SUMPRODUCT(--((ISNUMBER(SEARCH(","&amp;A186&amp;",",Reservas!$G$2:$G$501)))+(ISNUMBER(SEARCH(","&amp;TEXT(A186,"00")&amp;",",Reservas!$G$2:$G$501)))+(ISNUMBER(SEARCH(","&amp;TEXT(A186,"000")&amp;",",Reservas!$G$2:$G$501)))&gt;0))</f>
        <v>0</v>
      </c>
      <c r="C186" s="27" t="str">
        <f aca="false">IF(B186&gt;1,"⚠ Número anotado en más de una reserva","")</f>
        <v/>
      </c>
    </row>
    <row r="187" customFormat="false" ht="15" hidden="false" customHeight="false" outlineLevel="0" collapsed="false">
      <c r="A187" s="13" t="n">
        <v>186</v>
      </c>
      <c r="B187" s="13" t="n">
        <f aca="false">SUMPRODUCT(--((ISNUMBER(SEARCH(","&amp;A187&amp;",",Reservas!$G$2:$G$501)))+(ISNUMBER(SEARCH(","&amp;TEXT(A187,"00")&amp;",",Reservas!$G$2:$G$501)))+(ISNUMBER(SEARCH(","&amp;TEXT(A187,"000")&amp;",",Reservas!$G$2:$G$501)))&gt;0))</f>
        <v>0</v>
      </c>
      <c r="C187" s="27" t="str">
        <f aca="false">IF(B187&gt;1,"⚠ Número anotado en más de una reserva","")</f>
        <v/>
      </c>
    </row>
    <row r="188" customFormat="false" ht="15" hidden="false" customHeight="false" outlineLevel="0" collapsed="false">
      <c r="A188" s="13" t="n">
        <v>187</v>
      </c>
      <c r="B188" s="13" t="n">
        <f aca="false">SUMPRODUCT(--((ISNUMBER(SEARCH(","&amp;A188&amp;",",Reservas!$G$2:$G$501)))+(ISNUMBER(SEARCH(","&amp;TEXT(A188,"00")&amp;",",Reservas!$G$2:$G$501)))+(ISNUMBER(SEARCH(","&amp;TEXT(A188,"000")&amp;",",Reservas!$G$2:$G$501)))&gt;0))</f>
        <v>0</v>
      </c>
      <c r="C188" s="27" t="str">
        <f aca="false">IF(B188&gt;1,"⚠ Número anotado en más de una reserva","")</f>
        <v/>
      </c>
    </row>
    <row r="189" customFormat="false" ht="15" hidden="false" customHeight="false" outlineLevel="0" collapsed="false">
      <c r="A189" s="13" t="n">
        <v>188</v>
      </c>
      <c r="B189" s="13" t="n">
        <f aca="false">SUMPRODUCT(--((ISNUMBER(SEARCH(","&amp;A189&amp;",",Reservas!$G$2:$G$501)))+(ISNUMBER(SEARCH(","&amp;TEXT(A189,"00")&amp;",",Reservas!$G$2:$G$501)))+(ISNUMBER(SEARCH(","&amp;TEXT(A189,"000")&amp;",",Reservas!$G$2:$G$501)))&gt;0))</f>
        <v>0</v>
      </c>
      <c r="C189" s="27" t="str">
        <f aca="false">IF(B189&gt;1,"⚠ Número anotado en más de una reserva","")</f>
        <v/>
      </c>
    </row>
    <row r="190" customFormat="false" ht="15" hidden="false" customHeight="false" outlineLevel="0" collapsed="false">
      <c r="A190" s="13" t="n">
        <v>189</v>
      </c>
      <c r="B190" s="13" t="n">
        <f aca="false">SUMPRODUCT(--((ISNUMBER(SEARCH(","&amp;A190&amp;",",Reservas!$G$2:$G$501)))+(ISNUMBER(SEARCH(","&amp;TEXT(A190,"00")&amp;",",Reservas!$G$2:$G$501)))+(ISNUMBER(SEARCH(","&amp;TEXT(A190,"000")&amp;",",Reservas!$G$2:$G$501)))&gt;0))</f>
        <v>0</v>
      </c>
      <c r="C190" s="27" t="str">
        <f aca="false">IF(B190&gt;1,"⚠ Número anotado en más de una reserva","")</f>
        <v/>
      </c>
    </row>
    <row r="191" customFormat="false" ht="15" hidden="false" customHeight="false" outlineLevel="0" collapsed="false">
      <c r="A191" s="13" t="n">
        <v>190</v>
      </c>
      <c r="B191" s="13" t="n">
        <f aca="false">SUMPRODUCT(--((ISNUMBER(SEARCH(","&amp;A191&amp;",",Reservas!$G$2:$G$501)))+(ISNUMBER(SEARCH(","&amp;TEXT(A191,"00")&amp;",",Reservas!$G$2:$G$501)))+(ISNUMBER(SEARCH(","&amp;TEXT(A191,"000")&amp;",",Reservas!$G$2:$G$501)))&gt;0))</f>
        <v>0</v>
      </c>
      <c r="C191" s="27" t="str">
        <f aca="false">IF(B191&gt;1,"⚠ Número anotado en más de una reserva","")</f>
        <v/>
      </c>
    </row>
    <row r="192" customFormat="false" ht="15" hidden="false" customHeight="false" outlineLevel="0" collapsed="false">
      <c r="A192" s="13" t="n">
        <v>191</v>
      </c>
      <c r="B192" s="13" t="n">
        <f aca="false">SUMPRODUCT(--((ISNUMBER(SEARCH(","&amp;A192&amp;",",Reservas!$G$2:$G$501)))+(ISNUMBER(SEARCH(","&amp;TEXT(A192,"00")&amp;",",Reservas!$G$2:$G$501)))+(ISNUMBER(SEARCH(","&amp;TEXT(A192,"000")&amp;",",Reservas!$G$2:$G$501)))&gt;0))</f>
        <v>0</v>
      </c>
      <c r="C192" s="27" t="str">
        <f aca="false">IF(B192&gt;1,"⚠ Número anotado en más de una reserva","")</f>
        <v/>
      </c>
    </row>
    <row r="193" customFormat="false" ht="15" hidden="false" customHeight="false" outlineLevel="0" collapsed="false">
      <c r="A193" s="13" t="n">
        <v>192</v>
      </c>
      <c r="B193" s="13" t="n">
        <f aca="false">SUMPRODUCT(--((ISNUMBER(SEARCH(","&amp;A193&amp;",",Reservas!$G$2:$G$501)))+(ISNUMBER(SEARCH(","&amp;TEXT(A193,"00")&amp;",",Reservas!$G$2:$G$501)))+(ISNUMBER(SEARCH(","&amp;TEXT(A193,"000")&amp;",",Reservas!$G$2:$G$501)))&gt;0))</f>
        <v>0</v>
      </c>
      <c r="C193" s="27" t="str">
        <f aca="false">IF(B193&gt;1,"⚠ Número anotado en más de una reserva","")</f>
        <v/>
      </c>
    </row>
    <row r="194" customFormat="false" ht="15" hidden="false" customHeight="false" outlineLevel="0" collapsed="false">
      <c r="A194" s="13" t="n">
        <v>193</v>
      </c>
      <c r="B194" s="13" t="n">
        <f aca="false">SUMPRODUCT(--((ISNUMBER(SEARCH(","&amp;A194&amp;",",Reservas!$G$2:$G$501)))+(ISNUMBER(SEARCH(","&amp;TEXT(A194,"00")&amp;",",Reservas!$G$2:$G$501)))+(ISNUMBER(SEARCH(","&amp;TEXT(A194,"000")&amp;",",Reservas!$G$2:$G$501)))&gt;0))</f>
        <v>0</v>
      </c>
      <c r="C194" s="27" t="str">
        <f aca="false">IF(B194&gt;1,"⚠ Número anotado en más de una reserva","")</f>
        <v/>
      </c>
    </row>
    <row r="195" customFormat="false" ht="15" hidden="false" customHeight="false" outlineLevel="0" collapsed="false">
      <c r="A195" s="13" t="n">
        <v>194</v>
      </c>
      <c r="B195" s="13" t="n">
        <f aca="false">SUMPRODUCT(--((ISNUMBER(SEARCH(","&amp;A195&amp;",",Reservas!$G$2:$G$501)))+(ISNUMBER(SEARCH(","&amp;TEXT(A195,"00")&amp;",",Reservas!$G$2:$G$501)))+(ISNUMBER(SEARCH(","&amp;TEXT(A195,"000")&amp;",",Reservas!$G$2:$G$501)))&gt;0))</f>
        <v>0</v>
      </c>
      <c r="C195" s="27" t="str">
        <f aca="false">IF(B195&gt;1,"⚠ Número anotado en más de una reserva","")</f>
        <v/>
      </c>
    </row>
    <row r="196" customFormat="false" ht="15" hidden="false" customHeight="false" outlineLevel="0" collapsed="false">
      <c r="A196" s="13" t="n">
        <v>195</v>
      </c>
      <c r="B196" s="13" t="n">
        <f aca="false">SUMPRODUCT(--((ISNUMBER(SEARCH(","&amp;A196&amp;",",Reservas!$G$2:$G$501)))+(ISNUMBER(SEARCH(","&amp;TEXT(A196,"00")&amp;",",Reservas!$G$2:$G$501)))+(ISNUMBER(SEARCH(","&amp;TEXT(A196,"000")&amp;",",Reservas!$G$2:$G$501)))&gt;0))</f>
        <v>0</v>
      </c>
      <c r="C196" s="27" t="str">
        <f aca="false">IF(B196&gt;1,"⚠ Número anotado en más de una reserva","")</f>
        <v/>
      </c>
    </row>
    <row r="197" customFormat="false" ht="15" hidden="false" customHeight="false" outlineLevel="0" collapsed="false">
      <c r="A197" s="13" t="n">
        <v>196</v>
      </c>
      <c r="B197" s="13" t="n">
        <f aca="false">SUMPRODUCT(--((ISNUMBER(SEARCH(","&amp;A197&amp;",",Reservas!$G$2:$G$501)))+(ISNUMBER(SEARCH(","&amp;TEXT(A197,"00")&amp;",",Reservas!$G$2:$G$501)))+(ISNUMBER(SEARCH(","&amp;TEXT(A197,"000")&amp;",",Reservas!$G$2:$G$501)))&gt;0))</f>
        <v>0</v>
      </c>
      <c r="C197" s="27" t="str">
        <f aca="false">IF(B197&gt;1,"⚠ Número anotado en más de una reserva","")</f>
        <v/>
      </c>
    </row>
    <row r="198" customFormat="false" ht="15" hidden="false" customHeight="false" outlineLevel="0" collapsed="false">
      <c r="A198" s="13" t="n">
        <v>197</v>
      </c>
      <c r="B198" s="13" t="n">
        <f aca="false">SUMPRODUCT(--((ISNUMBER(SEARCH(","&amp;A198&amp;",",Reservas!$G$2:$G$501)))+(ISNUMBER(SEARCH(","&amp;TEXT(A198,"00")&amp;",",Reservas!$G$2:$G$501)))+(ISNUMBER(SEARCH(","&amp;TEXT(A198,"000")&amp;",",Reservas!$G$2:$G$501)))&gt;0))</f>
        <v>1</v>
      </c>
      <c r="C198" s="27" t="str">
        <f aca="false">IF(B198&gt;1,"⚠ Número anotado en más de una reserva","")</f>
        <v/>
      </c>
    </row>
    <row r="199" customFormat="false" ht="15" hidden="false" customHeight="false" outlineLevel="0" collapsed="false">
      <c r="A199" s="13" t="n">
        <v>198</v>
      </c>
      <c r="B199" s="13" t="n">
        <f aca="false">SUMPRODUCT(--((ISNUMBER(SEARCH(","&amp;A199&amp;",",Reservas!$G$2:$G$501)))+(ISNUMBER(SEARCH(","&amp;TEXT(A199,"00")&amp;",",Reservas!$G$2:$G$501)))+(ISNUMBER(SEARCH(","&amp;TEXT(A199,"000")&amp;",",Reservas!$G$2:$G$501)))&gt;0))</f>
        <v>0</v>
      </c>
      <c r="C199" s="27" t="str">
        <f aca="false">IF(B199&gt;1,"⚠ Número anotado en más de una reserva","")</f>
        <v/>
      </c>
    </row>
    <row r="200" customFormat="false" ht="15" hidden="false" customHeight="false" outlineLevel="0" collapsed="false">
      <c r="A200" s="13" t="n">
        <v>199</v>
      </c>
      <c r="B200" s="13" t="n">
        <f aca="false">SUMPRODUCT(--((ISNUMBER(SEARCH(","&amp;A200&amp;",",Reservas!$G$2:$G$501)))+(ISNUMBER(SEARCH(","&amp;TEXT(A200,"00")&amp;",",Reservas!$G$2:$G$501)))+(ISNUMBER(SEARCH(","&amp;TEXT(A200,"000")&amp;",",Reservas!$G$2:$G$501)))&gt;0))</f>
        <v>1</v>
      </c>
      <c r="C200" s="27" t="str">
        <f aca="false">IF(B200&gt;1,"⚠ Número anotado en más de una reserva","")</f>
        <v/>
      </c>
    </row>
    <row r="201" customFormat="false" ht="15" hidden="false" customHeight="false" outlineLevel="0" collapsed="false">
      <c r="A201" s="13" t="n">
        <v>200</v>
      </c>
      <c r="B201" s="13" t="n">
        <f aca="false">SUMPRODUCT(--((ISNUMBER(SEARCH(","&amp;A201&amp;",",Reservas!$G$2:$G$501)))+(ISNUMBER(SEARCH(","&amp;TEXT(A201,"00")&amp;",",Reservas!$G$2:$G$501)))+(ISNUMBER(SEARCH(","&amp;TEXT(A201,"000")&amp;",",Reservas!$G$2:$G$501)))&gt;0))</f>
        <v>0</v>
      </c>
      <c r="C201" s="27" t="str">
        <f aca="false">IF(B201&gt;1,"⚠ Número anotado en más de una reserva","")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2026-10-07T03:16:52Z</dcterms:created>
  <dc:creator>openpyxl</dc:creator>
  <dc:description/>
  <dc:language>en-US</dc:language>
  <cp:lastModifiedBy/>
  <dcterms:modified xsi:type="dcterms:W3CDTF">2026-10-07T03:16:53Z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